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ncipal" sheetId="1" r:id="rId4"/>
    <sheet state="visible" name="ChatGpt" sheetId="2" r:id="rId5"/>
    <sheet state="visible" name="Total de Ações" sheetId="3" r:id="rId6"/>
    <sheet state="visible" name="Ticker" sheetId="4" r:id="rId7"/>
    <sheet state="visible" name="Análises" sheetId="5" r:id="rId8"/>
  </sheets>
  <definedNames/>
  <calcPr/>
</workbook>
</file>

<file path=xl/sharedStrings.xml><?xml version="1.0" encoding="utf-8"?>
<sst xmlns="http://schemas.openxmlformats.org/spreadsheetml/2006/main" count="1534" uniqueCount="1082">
  <si>
    <t>Ativo</t>
  </si>
  <si>
    <t>Data</t>
  </si>
  <si>
    <t>Último (R$)</t>
  </si>
  <si>
    <t>Var. Dia (%)</t>
  </si>
  <si>
    <t>Var. Sem. (%)</t>
  </si>
  <si>
    <t>Var. Mês (%)</t>
  </si>
  <si>
    <t>Var. Ano (%)</t>
  </si>
  <si>
    <t>Var. 12M (%)</t>
  </si>
  <si>
    <t>Val. Máx</t>
  </si>
  <si>
    <t>Val. Mín</t>
  </si>
  <si>
    <t>Volume</t>
  </si>
  <si>
    <t>Variação Dia %</t>
  </si>
  <si>
    <t>Valor Inicial Dia(R$)</t>
  </si>
  <si>
    <t>Quantidade de Ações</t>
  </si>
  <si>
    <t>Variação Dia (R$)</t>
  </si>
  <si>
    <t>Resultado</t>
  </si>
  <si>
    <t>Nome da empresa</t>
  </si>
  <si>
    <t>Segmento</t>
  </si>
  <si>
    <t>Idade</t>
  </si>
  <si>
    <t>Cat_idade</t>
  </si>
  <si>
    <t>Variação Sem %</t>
  </si>
  <si>
    <t>Valor Inicial Sem (R$)</t>
  </si>
  <si>
    <t>Variação Sem (R$)</t>
  </si>
  <si>
    <t>Resultado Sem</t>
  </si>
  <si>
    <t>Variação Mês %</t>
  </si>
  <si>
    <t>Valor Inicial Mês (R$)</t>
  </si>
  <si>
    <t>Variação Mês (R$)</t>
  </si>
  <si>
    <t xml:space="preserve">Resultado Mês </t>
  </si>
  <si>
    <t>Variação Ano %</t>
  </si>
  <si>
    <t>Valor Inicial Ano (R$)</t>
  </si>
  <si>
    <t>Variação Ano (R$)</t>
  </si>
  <si>
    <t>Resultado Ano</t>
  </si>
  <si>
    <t>Variação 12M %</t>
  </si>
  <si>
    <t>Valor Inicial 12M (R$)</t>
  </si>
  <si>
    <t>Variação 12M (R$)</t>
  </si>
  <si>
    <t>Resultado 12M</t>
  </si>
  <si>
    <t>USIM5</t>
  </si>
  <si>
    <t>319,16 M</t>
  </si>
  <si>
    <t>CMIN3</t>
  </si>
  <si>
    <t>32,65 M</t>
  </si>
  <si>
    <t>PETR3</t>
  </si>
  <si>
    <t>436,69 M</t>
  </si>
  <si>
    <t>SUZB3</t>
  </si>
  <si>
    <t>162,55 M</t>
  </si>
  <si>
    <t>CPFE3</t>
  </si>
  <si>
    <t>73,42 M</t>
  </si>
  <si>
    <t>PRIO3</t>
  </si>
  <si>
    <t>319,92 M</t>
  </si>
  <si>
    <t>PETR4</t>
  </si>
  <si>
    <t>1,64 B</t>
  </si>
  <si>
    <t>VALE3</t>
  </si>
  <si>
    <t>1,89 B</t>
  </si>
  <si>
    <t>MULT3</t>
  </si>
  <si>
    <t>104,16 M</t>
  </si>
  <si>
    <t>ITUB4</t>
  </si>
  <si>
    <t>473,2 M</t>
  </si>
  <si>
    <t>RDOR3</t>
  </si>
  <si>
    <t>71,62 M</t>
  </si>
  <si>
    <t>BRKM5</t>
  </si>
  <si>
    <t>43,31 M</t>
  </si>
  <si>
    <t>AZUL4</t>
  </si>
  <si>
    <t>270,24 M</t>
  </si>
  <si>
    <t>RRRP3</t>
  </si>
  <si>
    <t>78,44 M</t>
  </si>
  <si>
    <t>EQTL3</t>
  </si>
  <si>
    <t>412,31 M</t>
  </si>
  <si>
    <t>CSNA3</t>
  </si>
  <si>
    <t>109,86 M</t>
  </si>
  <si>
    <t>YDUQ3</t>
  </si>
  <si>
    <t>63,48 M</t>
  </si>
  <si>
    <t>UGPA3</t>
  </si>
  <si>
    <t>104,52 M</t>
  </si>
  <si>
    <t>MRVE3</t>
  </si>
  <si>
    <t>109,48 M</t>
  </si>
  <si>
    <t>ARZZ3</t>
  </si>
  <si>
    <t>202,83 M</t>
  </si>
  <si>
    <t>BBDC4</t>
  </si>
  <si>
    <t>354,3 M</t>
  </si>
  <si>
    <t>BEEF3</t>
  </si>
  <si>
    <t>42,44 M</t>
  </si>
  <si>
    <t>PCAR3</t>
  </si>
  <si>
    <t>21,18 M</t>
  </si>
  <si>
    <t>BRFS3</t>
  </si>
  <si>
    <t>101,38 M</t>
  </si>
  <si>
    <t>VIVT3</t>
  </si>
  <si>
    <t>64,92 M</t>
  </si>
  <si>
    <t>RAIL3</t>
  </si>
  <si>
    <t>178,44 M</t>
  </si>
  <si>
    <t>CIEL3</t>
  </si>
  <si>
    <t>144,47 M</t>
  </si>
  <si>
    <t>DXCO3</t>
  </si>
  <si>
    <t>21,5 M</t>
  </si>
  <si>
    <t>TIMS3</t>
  </si>
  <si>
    <t>62,54 M</t>
  </si>
  <si>
    <t>BRAP4</t>
  </si>
  <si>
    <t>69,45 M</t>
  </si>
  <si>
    <t>LWSA3</t>
  </si>
  <si>
    <t>56,4 M</t>
  </si>
  <si>
    <t>RECV3</t>
  </si>
  <si>
    <t>58,9 M</t>
  </si>
  <si>
    <t>ITSA4</t>
  </si>
  <si>
    <t>168,56 M</t>
  </si>
  <si>
    <t>BBAS3</t>
  </si>
  <si>
    <t>465,62 M</t>
  </si>
  <si>
    <t>RADL3</t>
  </si>
  <si>
    <t>100,44 M</t>
  </si>
  <si>
    <t>GOAU4</t>
  </si>
  <si>
    <t>37,01 M</t>
  </si>
  <si>
    <t>CSAN3</t>
  </si>
  <si>
    <t>43,43 M</t>
  </si>
  <si>
    <t>JBSS3</t>
  </si>
  <si>
    <t>40,71 M</t>
  </si>
  <si>
    <t>MGLU3</t>
  </si>
  <si>
    <t>277,34 M</t>
  </si>
  <si>
    <t>BBDC3</t>
  </si>
  <si>
    <t>45,86 M</t>
  </si>
  <si>
    <t>GGBR4</t>
  </si>
  <si>
    <t>109,02 M</t>
  </si>
  <si>
    <t>RAIZ4</t>
  </si>
  <si>
    <t>19,84 M</t>
  </si>
  <si>
    <t>CPLE6</t>
  </si>
  <si>
    <t>97,05 M</t>
  </si>
  <si>
    <t>VAMO3</t>
  </si>
  <si>
    <t>41,64 M</t>
  </si>
  <si>
    <t>MRFG3</t>
  </si>
  <si>
    <t>39,65 M</t>
  </si>
  <si>
    <t>ABEV3</t>
  </si>
  <si>
    <t>86,92 M</t>
  </si>
  <si>
    <t>BBSE3</t>
  </si>
  <si>
    <t>99,61 M</t>
  </si>
  <si>
    <t>SBSP3</t>
  </si>
  <si>
    <t>128,66 M</t>
  </si>
  <si>
    <t>TOTS3</t>
  </si>
  <si>
    <t>42,83 M</t>
  </si>
  <si>
    <t>CMIG4</t>
  </si>
  <si>
    <t>63,32 M</t>
  </si>
  <si>
    <t>ELET6</t>
  </si>
  <si>
    <t>19,04 M</t>
  </si>
  <si>
    <t>ENEV3</t>
  </si>
  <si>
    <t>32,03 M</t>
  </si>
  <si>
    <t>WEGE3</t>
  </si>
  <si>
    <t>127,36 M</t>
  </si>
  <si>
    <t>SLCE3</t>
  </si>
  <si>
    <t>29,74 M</t>
  </si>
  <si>
    <t>ALOS3</t>
  </si>
  <si>
    <t>34,33 M</t>
  </si>
  <si>
    <t>CCRO3</t>
  </si>
  <si>
    <t>32,04 M</t>
  </si>
  <si>
    <t>COGN3</t>
  </si>
  <si>
    <t>56,12 M</t>
  </si>
  <si>
    <t>TRPL4</t>
  </si>
  <si>
    <t>27,59 M</t>
  </si>
  <si>
    <t>EGIE3</t>
  </si>
  <si>
    <t>43,45 M</t>
  </si>
  <si>
    <t>VBBR3</t>
  </si>
  <si>
    <t>58,22 M</t>
  </si>
  <si>
    <t>IRBR3</t>
  </si>
  <si>
    <t>74,33 M</t>
  </si>
  <si>
    <t>ELET3</t>
  </si>
  <si>
    <t>109,87 M</t>
  </si>
  <si>
    <t>PETZ3</t>
  </si>
  <si>
    <t>49,03 M</t>
  </si>
  <si>
    <t>EZTC3</t>
  </si>
  <si>
    <t>22,15 M</t>
  </si>
  <si>
    <t>FLRY3</t>
  </si>
  <si>
    <t>SOMA3</t>
  </si>
  <si>
    <t>60,82 M</t>
  </si>
  <si>
    <t>ALPA4</t>
  </si>
  <si>
    <t>14 M</t>
  </si>
  <si>
    <t>CYRE3</t>
  </si>
  <si>
    <t>104,26 M</t>
  </si>
  <si>
    <t>EMBR3</t>
  </si>
  <si>
    <t>60,86 M</t>
  </si>
  <si>
    <t>NTCO3</t>
  </si>
  <si>
    <t>213,23 M</t>
  </si>
  <si>
    <t>ASAI3</t>
  </si>
  <si>
    <t>79,67 M</t>
  </si>
  <si>
    <t>B3SA3</t>
  </si>
  <si>
    <t>487,27 M</t>
  </si>
  <si>
    <t>HYPE3</t>
  </si>
  <si>
    <t>107,71 M</t>
  </si>
  <si>
    <t>SMTO3</t>
  </si>
  <si>
    <t>73,55 M</t>
  </si>
  <si>
    <t>HAPV3</t>
  </si>
  <si>
    <t>277,57 M</t>
  </si>
  <si>
    <t>LREN3</t>
  </si>
  <si>
    <t>194,2 M</t>
  </si>
  <si>
    <t>CRFB3</t>
  </si>
  <si>
    <t>38,19 M</t>
  </si>
  <si>
    <t>BHIA3</t>
  </si>
  <si>
    <t>27,54 M</t>
  </si>
  <si>
    <t>RENT3</t>
  </si>
  <si>
    <t>624,74 M</t>
  </si>
  <si>
    <t>CVCB3</t>
  </si>
  <si>
    <t>101,46 M</t>
  </si>
  <si>
    <t>GOLL4</t>
  </si>
  <si>
    <t>154,36 M</t>
  </si>
  <si>
    <t>Nome da Empresa</t>
  </si>
  <si>
    <t>Idade em Anos</t>
  </si>
  <si>
    <t>Usiminas</t>
  </si>
  <si>
    <t>Siderurgia</t>
  </si>
  <si>
    <t>CSN Mineração</t>
  </si>
  <si>
    <t>Mineração</t>
  </si>
  <si>
    <t>Petrobras</t>
  </si>
  <si>
    <t>Petróleo e Gás</t>
  </si>
  <si>
    <t>Suzano</t>
  </si>
  <si>
    <t>Papel e Celulose</t>
  </si>
  <si>
    <t>CPFL Energia</t>
  </si>
  <si>
    <t>Energia</t>
  </si>
  <si>
    <t>PetroRio</t>
  </si>
  <si>
    <t>Menos de 10</t>
  </si>
  <si>
    <t>Vale</t>
  </si>
  <si>
    <t>Multiplan</t>
  </si>
  <si>
    <t>Shopping Centers</t>
  </si>
  <si>
    <t>Itaú Unibanco</t>
  </si>
  <si>
    <t>Bancos</t>
  </si>
  <si>
    <t>Rede D'Or</t>
  </si>
  <si>
    <t>Saúde</t>
  </si>
  <si>
    <t>Braskem</t>
  </si>
  <si>
    <t>Petroquímica</t>
  </si>
  <si>
    <t>Azul</t>
  </si>
  <si>
    <t>Transporte Aéreo</t>
  </si>
  <si>
    <t>3R Petroleum</t>
  </si>
  <si>
    <t>Equatorial Energia</t>
  </si>
  <si>
    <t>Siderúrgica Nacional</t>
  </si>
  <si>
    <t>YDUQS</t>
  </si>
  <si>
    <t>Educação</t>
  </si>
  <si>
    <t>Ultrapar</t>
  </si>
  <si>
    <t>Distribuição</t>
  </si>
  <si>
    <t>MRV</t>
  </si>
  <si>
    <t>Construção Civil</t>
  </si>
  <si>
    <t>Arezzo</t>
  </si>
  <si>
    <t>Moda</t>
  </si>
  <si>
    <t>Banco Bradesco</t>
  </si>
  <si>
    <t>Minerva</t>
  </si>
  <si>
    <t>Alimentos</t>
  </si>
  <si>
    <t>Grupo Pão de Açúcar</t>
  </si>
  <si>
    <t>BRF</t>
  </si>
  <si>
    <t>Vivo</t>
  </si>
  <si>
    <t>Telecomunicações</t>
  </si>
  <si>
    <t>Rumo</t>
  </si>
  <si>
    <t>Logística</t>
  </si>
  <si>
    <t>Cielo</t>
  </si>
  <si>
    <t>Serviços Financeiros</t>
  </si>
  <si>
    <t>Dexco</t>
  </si>
  <si>
    <t>TIM</t>
  </si>
  <si>
    <t>Bradespar</t>
  </si>
  <si>
    <t>Locaweb</t>
  </si>
  <si>
    <t>Tecnologia</t>
  </si>
  <si>
    <t>PetroRecôncavo</t>
  </si>
  <si>
    <t>Itaúsa</t>
  </si>
  <si>
    <t>Banco do Brasil</t>
  </si>
  <si>
    <t>RaiaDrogasil</t>
  </si>
  <si>
    <t>Metalúrgica Gerdau</t>
  </si>
  <si>
    <t>Cosan</t>
  </si>
  <si>
    <t>JBS</t>
  </si>
  <si>
    <t>Magazine Luiza</t>
  </si>
  <si>
    <t>Varejo</t>
  </si>
  <si>
    <t>Gerdau</t>
  </si>
  <si>
    <t>Raízen</t>
  </si>
  <si>
    <t>Copel</t>
  </si>
  <si>
    <t>Grupo Vamos</t>
  </si>
  <si>
    <t>Marfrig</t>
  </si>
  <si>
    <t>Ambev</t>
  </si>
  <si>
    <t>Bebidas</t>
  </si>
  <si>
    <t>BB Seguridade</t>
  </si>
  <si>
    <t>Seguros</t>
  </si>
  <si>
    <t>Sabesp</t>
  </si>
  <si>
    <t>Água e Saneamento</t>
  </si>
  <si>
    <t>Totvs</t>
  </si>
  <si>
    <t>CEMIG</t>
  </si>
  <si>
    <t>Eletrobras</t>
  </si>
  <si>
    <t>Eneva</t>
  </si>
  <si>
    <t>WEG</t>
  </si>
  <si>
    <t>SLC Agrícola</t>
  </si>
  <si>
    <t>Agricultura</t>
  </si>
  <si>
    <t>Grupo CCR</t>
  </si>
  <si>
    <t>Infraestrutura</t>
  </si>
  <si>
    <t>Cogna</t>
  </si>
  <si>
    <t>Transmissão Paulista</t>
  </si>
  <si>
    <t>Engie</t>
  </si>
  <si>
    <t>Vibra Energia</t>
  </si>
  <si>
    <t>IRB Brasil RE</t>
  </si>
  <si>
    <t>Petz</t>
  </si>
  <si>
    <t>EZTEC</t>
  </si>
  <si>
    <t>Fleury</t>
  </si>
  <si>
    <t>Grupo Soma</t>
  </si>
  <si>
    <t>Alpargatas</t>
  </si>
  <si>
    <t>Calçados</t>
  </si>
  <si>
    <t>Cyrela</t>
  </si>
  <si>
    <t>Embraer</t>
  </si>
  <si>
    <t>Aeronáutica</t>
  </si>
  <si>
    <t>Natura</t>
  </si>
  <si>
    <t>Beleza</t>
  </si>
  <si>
    <t>Assaí</t>
  </si>
  <si>
    <t>B3</t>
  </si>
  <si>
    <t>Finanças</t>
  </si>
  <si>
    <t>Hypera</t>
  </si>
  <si>
    <t>Farmacêutica</t>
  </si>
  <si>
    <t>São Martinho</t>
  </si>
  <si>
    <t>Açúcar e Álcool</t>
  </si>
  <si>
    <t>Hapvida</t>
  </si>
  <si>
    <t>Lojas Renner</t>
  </si>
  <si>
    <t>Carrefour Brasil</t>
  </si>
  <si>
    <t>Casas Bahia</t>
  </si>
  <si>
    <t>Localiza</t>
  </si>
  <si>
    <t>Aluguel de Carros</t>
  </si>
  <si>
    <t>CVC</t>
  </si>
  <si>
    <t>Turismo</t>
  </si>
  <si>
    <t>GOL</t>
  </si>
  <si>
    <t>Código</t>
  </si>
  <si>
    <t>Qtde. Teórica</t>
  </si>
  <si>
    <t>BPAC11</t>
  </si>
  <si>
    <t>ENGI11</t>
  </si>
  <si>
    <t>IGTI11</t>
  </si>
  <si>
    <t>KLBN11</t>
  </si>
  <si>
    <t>SANB11</t>
  </si>
  <si>
    <t>TAEE11</t>
  </si>
  <si>
    <t>Quantidade Teórica Total</t>
  </si>
  <si>
    <t>Redutor</t>
  </si>
  <si>
    <t>Ticker</t>
  </si>
  <si>
    <t>Nome</t>
  </si>
  <si>
    <t>OIBR3</t>
  </si>
  <si>
    <t>Oi</t>
  </si>
  <si>
    <t>AMER3</t>
  </si>
  <si>
    <t>Americanas</t>
  </si>
  <si>
    <t>CXSE3</t>
  </si>
  <si>
    <t>Caixa Seguridade</t>
  </si>
  <si>
    <t>SEQL3</t>
  </si>
  <si>
    <t>Sequoia Logística</t>
  </si>
  <si>
    <t>CPLE3</t>
  </si>
  <si>
    <t>QUAL3</t>
  </si>
  <si>
    <t>Qualicorp</t>
  </si>
  <si>
    <t>RCSL4</t>
  </si>
  <si>
    <t>Recrusul</t>
  </si>
  <si>
    <t>MLAS3</t>
  </si>
  <si>
    <t>Multilaser</t>
  </si>
  <si>
    <t>IFCM3</t>
  </si>
  <si>
    <t>Infracommerce</t>
  </si>
  <si>
    <t>POMO4</t>
  </si>
  <si>
    <t>Marcopolo</t>
  </si>
  <si>
    <t>MTRE3</t>
  </si>
  <si>
    <t>Mitre Realty</t>
  </si>
  <si>
    <t>ANIM3</t>
  </si>
  <si>
    <t>Ânima Educação</t>
  </si>
  <si>
    <t>GMAT3</t>
  </si>
  <si>
    <t>Grupo Mateus</t>
  </si>
  <si>
    <t>RCSL3</t>
  </si>
  <si>
    <t>GFSA3</t>
  </si>
  <si>
    <t>Gafisa</t>
  </si>
  <si>
    <t>MOVI3</t>
  </si>
  <si>
    <t>Movida</t>
  </si>
  <si>
    <t>TEND3</t>
  </si>
  <si>
    <t>Construtora Tenda</t>
  </si>
  <si>
    <t>VITT3</t>
  </si>
  <si>
    <t>Vittia</t>
  </si>
  <si>
    <t>AERI3</t>
  </si>
  <si>
    <t>Aeris Energy</t>
  </si>
  <si>
    <t>SBFG3</t>
  </si>
  <si>
    <t>Grupo SBF</t>
  </si>
  <si>
    <t>PGMN3</t>
  </si>
  <si>
    <t>Pague Menos</t>
  </si>
  <si>
    <t>HBSA3</t>
  </si>
  <si>
    <t>Hidrovias do Brasil</t>
  </si>
  <si>
    <t>CBAV3</t>
  </si>
  <si>
    <t>CBA</t>
  </si>
  <si>
    <t>AURE3</t>
  </si>
  <si>
    <t>VTRM ENERGIA PARTICIPAÃiES S.A.</t>
  </si>
  <si>
    <t>CASH3</t>
  </si>
  <si>
    <t>Méliuz</t>
  </si>
  <si>
    <t>CEAB3</t>
  </si>
  <si>
    <t>C&amp;A</t>
  </si>
  <si>
    <t>JHSF3</t>
  </si>
  <si>
    <t>JHSF</t>
  </si>
  <si>
    <t>SIMH3</t>
  </si>
  <si>
    <t>Simpar</t>
  </si>
  <si>
    <t>VULC3</t>
  </si>
  <si>
    <t>Vulcabras</t>
  </si>
  <si>
    <t>ECOR3</t>
  </si>
  <si>
    <t>EcoRodovias</t>
  </si>
  <si>
    <t>STBP3</t>
  </si>
  <si>
    <t>Santos Brasil</t>
  </si>
  <si>
    <t>LJQQ3</t>
  </si>
  <si>
    <t>Lojas Quero-Quero</t>
  </si>
  <si>
    <t>GUAR3</t>
  </si>
  <si>
    <t>Guararapes</t>
  </si>
  <si>
    <t>USIM3</t>
  </si>
  <si>
    <t>PDGR3</t>
  </si>
  <si>
    <t>PDG Realty</t>
  </si>
  <si>
    <t>PSSA3</t>
  </si>
  <si>
    <t>Porto Seguro</t>
  </si>
  <si>
    <t>SAPR4</t>
  </si>
  <si>
    <t>Sanepar</t>
  </si>
  <si>
    <t>CSMG3</t>
  </si>
  <si>
    <t>COPASA</t>
  </si>
  <si>
    <t>RAPT4</t>
  </si>
  <si>
    <t>Randon</t>
  </si>
  <si>
    <t>MBLY3</t>
  </si>
  <si>
    <t>Mobly</t>
  </si>
  <si>
    <t>CURY3</t>
  </si>
  <si>
    <t>Cury</t>
  </si>
  <si>
    <t>POSI3</t>
  </si>
  <si>
    <t>Positivo</t>
  </si>
  <si>
    <t>AESB3</t>
  </si>
  <si>
    <t>AES Brasil</t>
  </si>
  <si>
    <t>ONCO3</t>
  </si>
  <si>
    <t>Oncoclínicas</t>
  </si>
  <si>
    <t>ODPV3</t>
  </si>
  <si>
    <t>Odontoprev</t>
  </si>
  <si>
    <t>KLBN4</t>
  </si>
  <si>
    <t>Klabin</t>
  </si>
  <si>
    <t>MYPK3</t>
  </si>
  <si>
    <t>Iochpe-Maxion</t>
  </si>
  <si>
    <t>SMFT3</t>
  </si>
  <si>
    <t>Smart Fit</t>
  </si>
  <si>
    <t>KEPL3</t>
  </si>
  <si>
    <t>Kepler Weber</t>
  </si>
  <si>
    <t>ESPA3</t>
  </si>
  <si>
    <t>Espaçolaser</t>
  </si>
  <si>
    <t>INTB3</t>
  </si>
  <si>
    <t>Intelbras</t>
  </si>
  <si>
    <t>SEER3</t>
  </si>
  <si>
    <t>Ser Educacional</t>
  </si>
  <si>
    <t>VIVA3</t>
  </si>
  <si>
    <t>Vivara</t>
  </si>
  <si>
    <t>GGPS3</t>
  </si>
  <si>
    <t>GPS</t>
  </si>
  <si>
    <t>BRSR6</t>
  </si>
  <si>
    <t>Banrisul</t>
  </si>
  <si>
    <t>CLSA3</t>
  </si>
  <si>
    <t>ClearSale</t>
  </si>
  <si>
    <t>MILS3</t>
  </si>
  <si>
    <t>Mills</t>
  </si>
  <si>
    <t>TTEN3</t>
  </si>
  <si>
    <t>3tentos</t>
  </si>
  <si>
    <t>DIRR3</t>
  </si>
  <si>
    <t>Direcional</t>
  </si>
  <si>
    <t>GRND3</t>
  </si>
  <si>
    <t>Grendene</t>
  </si>
  <si>
    <t>HBRE3</t>
  </si>
  <si>
    <t>HBR Realty</t>
  </si>
  <si>
    <t>AZEV4</t>
  </si>
  <si>
    <t>Azevedo &amp; Travassos</t>
  </si>
  <si>
    <t>ENAT3</t>
  </si>
  <si>
    <t>Enauta</t>
  </si>
  <si>
    <t>SRNA3</t>
  </si>
  <si>
    <t>BPAN4</t>
  </si>
  <si>
    <t>Banco Pan</t>
  </si>
  <si>
    <t>MEAL3</t>
  </si>
  <si>
    <t>IMC Alimentação</t>
  </si>
  <si>
    <t>SOJA3</t>
  </si>
  <si>
    <t>Boa Safra Sementes</t>
  </si>
  <si>
    <t>ITUB3</t>
  </si>
  <si>
    <t>CAML3</t>
  </si>
  <si>
    <t>Camil Alimentos</t>
  </si>
  <si>
    <t>BMGB4</t>
  </si>
  <si>
    <t>Banco BMG</t>
  </si>
  <si>
    <t>PINE4</t>
  </si>
  <si>
    <t>PINE</t>
  </si>
  <si>
    <t>ZAMP3</t>
  </si>
  <si>
    <t>Zamp</t>
  </si>
  <si>
    <t>PTBL3</t>
  </si>
  <si>
    <t>Portobello</t>
  </si>
  <si>
    <t>JALL3</t>
  </si>
  <si>
    <t>Jalles Machado</t>
  </si>
  <si>
    <t>RANI3</t>
  </si>
  <si>
    <t>Irani</t>
  </si>
  <si>
    <t>ENJU3</t>
  </si>
  <si>
    <t>Enjoei</t>
  </si>
  <si>
    <t>OPCT3</t>
  </si>
  <si>
    <t>OceanPact</t>
  </si>
  <si>
    <t>BRIT3</t>
  </si>
  <si>
    <t>Brisanet</t>
  </si>
  <si>
    <t>FESA4</t>
  </si>
  <si>
    <t>Ferbasa</t>
  </si>
  <si>
    <t>LUPA3</t>
  </si>
  <si>
    <t>Lupatech</t>
  </si>
  <si>
    <t>MDNE3</t>
  </si>
  <si>
    <t>Moura Dubeux</t>
  </si>
  <si>
    <t>AMBP3</t>
  </si>
  <si>
    <t>Ambipar</t>
  </si>
  <si>
    <t>CSED3</t>
  </si>
  <si>
    <t>Cruzeiro do Sul Educacional</t>
  </si>
  <si>
    <t>MATD3</t>
  </si>
  <si>
    <t>Mater Dei</t>
  </si>
  <si>
    <t>DESK3</t>
  </si>
  <si>
    <t>Desktop</t>
  </si>
  <si>
    <t>TRIS3</t>
  </si>
  <si>
    <t>Trisul</t>
  </si>
  <si>
    <t>NEOE3</t>
  </si>
  <si>
    <t>Neoenergia</t>
  </si>
  <si>
    <t>EVEN3</t>
  </si>
  <si>
    <t>Even</t>
  </si>
  <si>
    <t>AMAR3</t>
  </si>
  <si>
    <t>Lojas Marisa</t>
  </si>
  <si>
    <t>VLID3</t>
  </si>
  <si>
    <t>Valid</t>
  </si>
  <si>
    <t>CMIG3</t>
  </si>
  <si>
    <t>LEVE3</t>
  </si>
  <si>
    <t>Mahle Metal Leve</t>
  </si>
  <si>
    <t>ABCB4</t>
  </si>
  <si>
    <t>Banco ABC Brasil</t>
  </si>
  <si>
    <t>PLPL3</t>
  </si>
  <si>
    <t>Plano&amp;Plano</t>
  </si>
  <si>
    <t>ARML3</t>
  </si>
  <si>
    <t>Armac</t>
  </si>
  <si>
    <t>HBOR3</t>
  </si>
  <si>
    <t>Helbor</t>
  </si>
  <si>
    <t>FRAS3</t>
  </si>
  <si>
    <t>Fras-le</t>
  </si>
  <si>
    <t>SAPR3</t>
  </si>
  <si>
    <t>ETER3</t>
  </si>
  <si>
    <t>Eternit</t>
  </si>
  <si>
    <t>NGRD3</t>
  </si>
  <si>
    <t>Neogrid</t>
  </si>
  <si>
    <t>MDIA3</t>
  </si>
  <si>
    <t>M. Dias Branco</t>
  </si>
  <si>
    <t>TUPY3</t>
  </si>
  <si>
    <t>Tupy</t>
  </si>
  <si>
    <t>SHOW3</t>
  </si>
  <si>
    <t>Time For Fun</t>
  </si>
  <si>
    <t>BLAU3</t>
  </si>
  <si>
    <t>Blau Farmacêutica</t>
  </si>
  <si>
    <t>PNVL3</t>
  </si>
  <si>
    <t>Dimed</t>
  </si>
  <si>
    <t>SHUL4</t>
  </si>
  <si>
    <t>Schulz</t>
  </si>
  <si>
    <t>SGPS3</t>
  </si>
  <si>
    <t>Springs</t>
  </si>
  <si>
    <t>VVEO3</t>
  </si>
  <si>
    <t>Viveo</t>
  </si>
  <si>
    <t>KLBN3</t>
  </si>
  <si>
    <t>AZEV3</t>
  </si>
  <si>
    <t>PFRM3</t>
  </si>
  <si>
    <t>Profarma</t>
  </si>
  <si>
    <t>LIGT3</t>
  </si>
  <si>
    <t>Light</t>
  </si>
  <si>
    <t>WIZC3</t>
  </si>
  <si>
    <t>Wiz Soluções</t>
  </si>
  <si>
    <t>KRSA3</t>
  </si>
  <si>
    <t>Kora Saúde</t>
  </si>
  <si>
    <t>ORVR3</t>
  </si>
  <si>
    <t>Orizon</t>
  </si>
  <si>
    <t>RNEW4</t>
  </si>
  <si>
    <t>Renova Energia</t>
  </si>
  <si>
    <t>DASA3</t>
  </si>
  <si>
    <t>Dasa</t>
  </si>
  <si>
    <t>NINJ3</t>
  </si>
  <si>
    <t>GetNinjas</t>
  </si>
  <si>
    <t>TASA4</t>
  </si>
  <si>
    <t>Taurus</t>
  </si>
  <si>
    <t>PORT3</t>
  </si>
  <si>
    <t>Wilson Sons</t>
  </si>
  <si>
    <t>VIVR3</t>
  </si>
  <si>
    <t>Viver</t>
  </si>
  <si>
    <t>TRAD3</t>
  </si>
  <si>
    <t>Traders Club</t>
  </si>
  <si>
    <t>LAVV3</t>
  </si>
  <si>
    <t>Lavvi Incorporadora</t>
  </si>
  <si>
    <t>ROMI3</t>
  </si>
  <si>
    <t>Indústrias ROMI</t>
  </si>
  <si>
    <t>BMOB3</t>
  </si>
  <si>
    <t>Bemobi</t>
  </si>
  <si>
    <t>OIBR4</t>
  </si>
  <si>
    <t>SYNE3</t>
  </si>
  <si>
    <t>SYN</t>
  </si>
  <si>
    <t>AGRO3</t>
  </si>
  <si>
    <t>BrasilAgro</t>
  </si>
  <si>
    <t>UNIP6</t>
  </si>
  <si>
    <t>Unipar</t>
  </si>
  <si>
    <t>FIQE3</t>
  </si>
  <si>
    <t>Unifique</t>
  </si>
  <si>
    <t>TAEE4</t>
  </si>
  <si>
    <t>Taesa</t>
  </si>
  <si>
    <t>PRNR3</t>
  </si>
  <si>
    <t>Priner</t>
  </si>
  <si>
    <t>POMO3</t>
  </si>
  <si>
    <t>OSXB3</t>
  </si>
  <si>
    <t>OSX Brasil</t>
  </si>
  <si>
    <t>TCSA3</t>
  </si>
  <si>
    <t>Tecnisa</t>
  </si>
  <si>
    <t>CTNM4</t>
  </si>
  <si>
    <t>Coteminas</t>
  </si>
  <si>
    <t>ITSA3</t>
  </si>
  <si>
    <t>TGMA3</t>
  </si>
  <si>
    <t>Tegma</t>
  </si>
  <si>
    <t>IGTI3</t>
  </si>
  <si>
    <t>Iguatemi</t>
  </si>
  <si>
    <t>Jereissati Participações</t>
  </si>
  <si>
    <t>INEP3</t>
  </si>
  <si>
    <t>Inepar</t>
  </si>
  <si>
    <t>ALPK3</t>
  </si>
  <si>
    <t>Estapar</t>
  </si>
  <si>
    <t>UCAS3</t>
  </si>
  <si>
    <t>Unicasa</t>
  </si>
  <si>
    <t>LOGG3</t>
  </si>
  <si>
    <t>LOG CP</t>
  </si>
  <si>
    <t>JSLG3</t>
  </si>
  <si>
    <t>JSL</t>
  </si>
  <si>
    <t>SANB4</t>
  </si>
  <si>
    <t>Banco Santander</t>
  </si>
  <si>
    <t>AGXY3</t>
  </si>
  <si>
    <t>AgroGalaxy</t>
  </si>
  <si>
    <t>SANB3</t>
  </si>
  <si>
    <t>PDTC3</t>
  </si>
  <si>
    <t>Padtec</t>
  </si>
  <si>
    <t>RSID3</t>
  </si>
  <si>
    <t>Rossi Residencial</t>
  </si>
  <si>
    <t>DEXP3</t>
  </si>
  <si>
    <t>Dexxos</t>
  </si>
  <si>
    <t>MELK3</t>
  </si>
  <si>
    <t>Melnick</t>
  </si>
  <si>
    <t>TAEE3</t>
  </si>
  <si>
    <t>LPSB3</t>
  </si>
  <si>
    <t>Lopes</t>
  </si>
  <si>
    <t>WEST3</t>
  </si>
  <si>
    <t>Westwing</t>
  </si>
  <si>
    <t>GGBR3</t>
  </si>
  <si>
    <t>TFCO4</t>
  </si>
  <si>
    <t>Track &amp; Field</t>
  </si>
  <si>
    <t>INEP4</t>
  </si>
  <si>
    <t>LVTC3</t>
  </si>
  <si>
    <t>WDC Networks</t>
  </si>
  <si>
    <t>CSUD3</t>
  </si>
  <si>
    <t>CSU Cardsystem</t>
  </si>
  <si>
    <t>TECN3</t>
  </si>
  <si>
    <t>Technos</t>
  </si>
  <si>
    <t>GOAU3</t>
  </si>
  <si>
    <t>LAND3</t>
  </si>
  <si>
    <t>Terra Santa</t>
  </si>
  <si>
    <t>RNEW3</t>
  </si>
  <si>
    <t>EUCA4</t>
  </si>
  <si>
    <t>Eucatex</t>
  </si>
  <si>
    <t>DMVF3</t>
  </si>
  <si>
    <t>D1000 Varejo Farma</t>
  </si>
  <si>
    <t>CTSA4</t>
  </si>
  <si>
    <t>Santanense</t>
  </si>
  <si>
    <t>ELMD3</t>
  </si>
  <si>
    <t>Eletromidia</t>
  </si>
  <si>
    <t>PMAM3</t>
  </si>
  <si>
    <t>Paranapanema</t>
  </si>
  <si>
    <t>RAPT3</t>
  </si>
  <si>
    <t>ALLD3</t>
  </si>
  <si>
    <t>Allied</t>
  </si>
  <si>
    <t>SNSY3</t>
  </si>
  <si>
    <t>Sansuy</t>
  </si>
  <si>
    <t>AALR3</t>
  </si>
  <si>
    <t>Alliança</t>
  </si>
  <si>
    <t>BRAP3</t>
  </si>
  <si>
    <t>BRKM3</t>
  </si>
  <si>
    <t>BMIN4</t>
  </si>
  <si>
    <t>Banco Mercantil de Investimentos</t>
  </si>
  <si>
    <t>TPIS3</t>
  </si>
  <si>
    <t>Triunfo</t>
  </si>
  <si>
    <t>SNSY5</t>
  </si>
  <si>
    <t>BOBR4</t>
  </si>
  <si>
    <t>Bombril</t>
  </si>
  <si>
    <t>ATMP3</t>
  </si>
  <si>
    <t>Atma</t>
  </si>
  <si>
    <t>ENGI4</t>
  </si>
  <si>
    <t>Energisa</t>
  </si>
  <si>
    <t>CAMB3</t>
  </si>
  <si>
    <t>Cambuci</t>
  </si>
  <si>
    <t>FRTA3</t>
  </si>
  <si>
    <t>Pomi Frutas</t>
  </si>
  <si>
    <t>DOTZ3</t>
  </si>
  <si>
    <t>Dotz</t>
  </si>
  <si>
    <t>LOGN3</t>
  </si>
  <si>
    <t>Log-In</t>
  </si>
  <si>
    <t>UNIP3</t>
  </si>
  <si>
    <t>ALUP3</t>
  </si>
  <si>
    <t>Alupar</t>
  </si>
  <si>
    <t>ALUP4</t>
  </si>
  <si>
    <t>ATOM3</t>
  </si>
  <si>
    <t>ATOM</t>
  </si>
  <si>
    <t>BMEB4</t>
  </si>
  <si>
    <t>Banco Mercantil do Brasil</t>
  </si>
  <si>
    <t>CGRA4</t>
  </si>
  <si>
    <t>Grazziotin</t>
  </si>
  <si>
    <t>BRIV3</t>
  </si>
  <si>
    <t>Alfa Investimento</t>
  </si>
  <si>
    <t>HOOT4</t>
  </si>
  <si>
    <t>Hotéis Othon</t>
  </si>
  <si>
    <t>NUTR3</t>
  </si>
  <si>
    <t>Nutriplant</t>
  </si>
  <si>
    <t>CEBR6</t>
  </si>
  <si>
    <t>CEB</t>
  </si>
  <si>
    <t>SCAR3</t>
  </si>
  <si>
    <t>São Carlos</t>
  </si>
  <si>
    <t>CEBR3</t>
  </si>
  <si>
    <t>TASA3</t>
  </si>
  <si>
    <t>OFSA3</t>
  </si>
  <si>
    <t>Ourofino Saúde Animal</t>
  </si>
  <si>
    <t>CEBR5</t>
  </si>
  <si>
    <t>BEES3</t>
  </si>
  <si>
    <t>Banestes</t>
  </si>
  <si>
    <t>BRSR3</t>
  </si>
  <si>
    <t>MERC4</t>
  </si>
  <si>
    <t>Mercantil do Brasil Financeira</t>
  </si>
  <si>
    <t>ENGI3</t>
  </si>
  <si>
    <t>CTSA3</t>
  </si>
  <si>
    <t>BPAC5</t>
  </si>
  <si>
    <t>Banco BTG Pactual</t>
  </si>
  <si>
    <t>CRPG5</t>
  </si>
  <si>
    <t>Tronox Pigmentos</t>
  </si>
  <si>
    <t>REDE3</t>
  </si>
  <si>
    <t>Rede Energia</t>
  </si>
  <si>
    <t>HAGA4</t>
  </si>
  <si>
    <t>Haga</t>
  </si>
  <si>
    <t>VSTE3</t>
  </si>
  <si>
    <t>LE LIS BLANC</t>
  </si>
  <si>
    <t>COCE5</t>
  </si>
  <si>
    <t>Coelce</t>
  </si>
  <si>
    <t>BIOM3</t>
  </si>
  <si>
    <t>Biomm</t>
  </si>
  <si>
    <t>WHRL3</t>
  </si>
  <si>
    <t>Whirlpool</t>
  </si>
  <si>
    <t>EQPA3</t>
  </si>
  <si>
    <t>Equatorial Energia Pará</t>
  </si>
  <si>
    <t>RPAD5</t>
  </si>
  <si>
    <t>Alfa Holdings</t>
  </si>
  <si>
    <t>NORD3</t>
  </si>
  <si>
    <t>Nordon</t>
  </si>
  <si>
    <t>FHER3</t>
  </si>
  <si>
    <t>Fertilizantes Heringer</t>
  </si>
  <si>
    <t>EPAR3</t>
  </si>
  <si>
    <t>Embpar Participações</t>
  </si>
  <si>
    <t>RSUL4</t>
  </si>
  <si>
    <t>Metalúrgica Riosulense</t>
  </si>
  <si>
    <t>MAPT4</t>
  </si>
  <si>
    <t>Cemepe</t>
  </si>
  <si>
    <t>TRPL3</t>
  </si>
  <si>
    <t>JFEN3</t>
  </si>
  <si>
    <t>João Fortes</t>
  </si>
  <si>
    <t>PTNT3</t>
  </si>
  <si>
    <t>Pettenati</t>
  </si>
  <si>
    <t>CLSC4</t>
  </si>
  <si>
    <t>Celesc</t>
  </si>
  <si>
    <t>RPMG3</t>
  </si>
  <si>
    <t>Refinaria de Manguinhos</t>
  </si>
  <si>
    <t>DOHL4</t>
  </si>
  <si>
    <t>Döhler</t>
  </si>
  <si>
    <t>PINE3</t>
  </si>
  <si>
    <t>BGIP4</t>
  </si>
  <si>
    <t>Banese</t>
  </si>
  <si>
    <t>BPAC3</t>
  </si>
  <si>
    <t>NEXP3</t>
  </si>
  <si>
    <t>Brasil Brokers</t>
  </si>
  <si>
    <t>HAGA3</t>
  </si>
  <si>
    <t>BMIN3</t>
  </si>
  <si>
    <t>EALT4</t>
  </si>
  <si>
    <t>Electro Aço Altona</t>
  </si>
  <si>
    <t>EMAE4</t>
  </si>
  <si>
    <t>EMAE</t>
  </si>
  <si>
    <t>MTSA4</t>
  </si>
  <si>
    <t>METISA</t>
  </si>
  <si>
    <t>AFLT3</t>
  </si>
  <si>
    <t>Afluente T</t>
  </si>
  <si>
    <t>BAZA3</t>
  </si>
  <si>
    <t>Banco da Amazônia</t>
  </si>
  <si>
    <t>APER3</t>
  </si>
  <si>
    <t>Alper</t>
  </si>
  <si>
    <t>BEES4</t>
  </si>
  <si>
    <t>PEAB4</t>
  </si>
  <si>
    <t>Participações Aliança da Bahia</t>
  </si>
  <si>
    <t>HBTS5</t>
  </si>
  <si>
    <t>Habitasul</t>
  </si>
  <si>
    <t>CEDO4</t>
  </si>
  <si>
    <t>Cedro Têxtil</t>
  </si>
  <si>
    <t>TELB4</t>
  </si>
  <si>
    <t>Telebras</t>
  </si>
  <si>
    <t>WHRL4</t>
  </si>
  <si>
    <t>FESA3</t>
  </si>
  <si>
    <t>CGAS5</t>
  </si>
  <si>
    <t>Comgás</t>
  </si>
  <si>
    <t>BMEB3</t>
  </si>
  <si>
    <t>BSLI4</t>
  </si>
  <si>
    <t>Banco de Brasília</t>
  </si>
  <si>
    <t>RDNI3</t>
  </si>
  <si>
    <t>RNI</t>
  </si>
  <si>
    <t>WLMM4</t>
  </si>
  <si>
    <t>WLM</t>
  </si>
  <si>
    <t>MWET4</t>
  </si>
  <si>
    <t>Wetzel</t>
  </si>
  <si>
    <t>CEEB3</t>
  </si>
  <si>
    <t>COELBA</t>
  </si>
  <si>
    <t>CGRA3</t>
  </si>
  <si>
    <t>FRIO3</t>
  </si>
  <si>
    <t>Metalfrio</t>
  </si>
  <si>
    <t>CRPG6</t>
  </si>
  <si>
    <t>CRIV3</t>
  </si>
  <si>
    <t>Alfa Financeira</t>
  </si>
  <si>
    <t>AVLL3</t>
  </si>
  <si>
    <t>Alphaville</t>
  </si>
  <si>
    <t>DTCY3</t>
  </si>
  <si>
    <t>Dtcom</t>
  </si>
  <si>
    <t>PEAB3</t>
  </si>
  <si>
    <t>EUCA3</t>
  </si>
  <si>
    <t>PTNT4</t>
  </si>
  <si>
    <t>CRIV4</t>
  </si>
  <si>
    <t>CTKA4</t>
  </si>
  <si>
    <t>Karsten</t>
  </si>
  <si>
    <t>MGEL4</t>
  </si>
  <si>
    <t>Mangels</t>
  </si>
  <si>
    <t>BRGE3</t>
  </si>
  <si>
    <t>Consórcio Alfa</t>
  </si>
  <si>
    <t>BRIV4</t>
  </si>
  <si>
    <t>EALT3</t>
  </si>
  <si>
    <t>CEEB5</t>
  </si>
  <si>
    <t>TEKA4</t>
  </si>
  <si>
    <t>Teka</t>
  </si>
  <si>
    <t>PATI3</t>
  </si>
  <si>
    <t>Panatlântica</t>
  </si>
  <si>
    <t>CPLE5</t>
  </si>
  <si>
    <t>BSLI3</t>
  </si>
  <si>
    <t>DEXP4</t>
  </si>
  <si>
    <t>CTNM3</t>
  </si>
  <si>
    <t>ALPA3</t>
  </si>
  <si>
    <t>PLAS3</t>
  </si>
  <si>
    <t>Plascar</t>
  </si>
  <si>
    <t>HETA4</t>
  </si>
  <si>
    <t>Hercules</t>
  </si>
  <si>
    <t>BMKS3</t>
  </si>
  <si>
    <t>Monark</t>
  </si>
  <si>
    <t>BAHI3</t>
  </si>
  <si>
    <t>Bahema</t>
  </si>
  <si>
    <t>TELB3</t>
  </si>
  <si>
    <t>CLSC3</t>
  </si>
  <si>
    <t>RPAD3</t>
  </si>
  <si>
    <t>BNBR3</t>
  </si>
  <si>
    <t>Banco do Nordeste</t>
  </si>
  <si>
    <t>BRGE12</t>
  </si>
  <si>
    <t>GEPA3</t>
  </si>
  <si>
    <t>Rio Paranapanema Energia</t>
  </si>
  <si>
    <t>TKNO4</t>
  </si>
  <si>
    <t>Tekno</t>
  </si>
  <si>
    <t>EQMA3B</t>
  </si>
  <si>
    <t>Equatorial Maranhão</t>
  </si>
  <si>
    <t>CSRN5</t>
  </si>
  <si>
    <t>COSERN</t>
  </si>
  <si>
    <t>GEPA4</t>
  </si>
  <si>
    <t>JOPA3</t>
  </si>
  <si>
    <t>Josapar</t>
  </si>
  <si>
    <t>DOHL3</t>
  </si>
  <si>
    <t>MNPR3</t>
  </si>
  <si>
    <t>Minupar</t>
  </si>
  <si>
    <t>BALM3</t>
  </si>
  <si>
    <t>Baumer</t>
  </si>
  <si>
    <t>BDLL4</t>
  </si>
  <si>
    <t>Bardella</t>
  </si>
  <si>
    <t>BALM4</t>
  </si>
  <si>
    <t>BAUH4</t>
  </si>
  <si>
    <t>Excelsior</t>
  </si>
  <si>
    <t>UNIP5</t>
  </si>
  <si>
    <t>BGIP3</t>
  </si>
  <si>
    <t>MOAR3</t>
  </si>
  <si>
    <t>Monteiro Aranha</t>
  </si>
  <si>
    <t>MNDL3</t>
  </si>
  <si>
    <t>Mundial</t>
  </si>
  <si>
    <t>BRGE6</t>
  </si>
  <si>
    <t>IGTI4</t>
  </si>
  <si>
    <t>ESTR4</t>
  </si>
  <si>
    <t>Estrela</t>
  </si>
  <si>
    <t>PATI4</t>
  </si>
  <si>
    <t>RPAD6</t>
  </si>
  <si>
    <t>AHEB5</t>
  </si>
  <si>
    <t>São Paulo Turismo</t>
  </si>
  <si>
    <t>CEED4</t>
  </si>
  <si>
    <t>CEEE D</t>
  </si>
  <si>
    <t>EQPA6</t>
  </si>
  <si>
    <t>CSRN3</t>
  </si>
  <si>
    <t>EQPA5</t>
  </si>
  <si>
    <t>LUXM4</t>
  </si>
  <si>
    <t>Trevisa</t>
  </si>
  <si>
    <t>CTKA3</t>
  </si>
  <si>
    <t>CBEE3</t>
  </si>
  <si>
    <t>Ampla Energia</t>
  </si>
  <si>
    <t>EKTR4</t>
  </si>
  <si>
    <t>Elektro</t>
  </si>
  <si>
    <t>CSRN6</t>
  </si>
  <si>
    <t>CEED3</t>
  </si>
  <si>
    <t>EQPA7</t>
  </si>
  <si>
    <t>BDLL3</t>
  </si>
  <si>
    <t>CALI3</t>
  </si>
  <si>
    <t>Adolpho Lindenberg</t>
  </si>
  <si>
    <t>CGAS3</t>
  </si>
  <si>
    <t>ESTR3</t>
  </si>
  <si>
    <t>MRSA3B</t>
  </si>
  <si>
    <t>MRS Logística</t>
  </si>
  <si>
    <t>ENMT3</t>
  </si>
  <si>
    <t>Energisa MT</t>
  </si>
  <si>
    <t>ELET5</t>
  </si>
  <si>
    <t>BRGE8</t>
  </si>
  <si>
    <t>MRSA6B</t>
  </si>
  <si>
    <t>MRSA5B</t>
  </si>
  <si>
    <t>BRKM6</t>
  </si>
  <si>
    <t>USIM6</t>
  </si>
  <si>
    <t>FIEI3</t>
  </si>
  <si>
    <t>Fica</t>
  </si>
  <si>
    <t>SOND5</t>
  </si>
  <si>
    <t>Sondotécnica</t>
  </si>
  <si>
    <t>CEDO3</t>
  </si>
  <si>
    <t>MAPT3</t>
  </si>
  <si>
    <t>WLMM3</t>
  </si>
  <si>
    <t>SOND6</t>
  </si>
  <si>
    <t>GSHP3</t>
  </si>
  <si>
    <t>General Shopping &amp; Outlets</t>
  </si>
  <si>
    <t>BRSR5</t>
  </si>
  <si>
    <t>ENMT4</t>
  </si>
  <si>
    <t>BRGE11</t>
  </si>
  <si>
    <t>LIPR3</t>
  </si>
  <si>
    <t>Eletropar</t>
  </si>
  <si>
    <t>CSAB3</t>
  </si>
  <si>
    <t>Cia. de Seg. Aliança da Bahia</t>
  </si>
  <si>
    <t>CSAB4</t>
  </si>
  <si>
    <t>AHEB3</t>
  </si>
  <si>
    <t>CRPG3</t>
  </si>
  <si>
    <t>MEGA3</t>
  </si>
  <si>
    <t>OMEGA ENERGIA S.A.</t>
  </si>
  <si>
    <t>DMFN3</t>
  </si>
  <si>
    <t>DM Financeira</t>
  </si>
  <si>
    <t>BRGE5</t>
  </si>
  <si>
    <t>GPAR3</t>
  </si>
  <si>
    <t>CELGPAR</t>
  </si>
  <si>
    <t>SQIA3</t>
  </si>
  <si>
    <t>Sinqia</t>
  </si>
  <si>
    <t>BRGE7</t>
  </si>
  <si>
    <t>ALSO3</t>
  </si>
  <si>
    <t>Aliansce Sonae</t>
  </si>
  <si>
    <t>BRPR3</t>
  </si>
  <si>
    <t>BR Properties</t>
  </si>
  <si>
    <t>MTSA3</t>
  </si>
  <si>
    <t>SLED4</t>
  </si>
  <si>
    <t>Saraiva</t>
  </si>
  <si>
    <t>SLED3</t>
  </si>
  <si>
    <t>AHEB6</t>
  </si>
  <si>
    <t>VIIA3</t>
  </si>
  <si>
    <t>EKTR3</t>
  </si>
  <si>
    <t>MWET3</t>
  </si>
  <si>
    <t>ENBR3</t>
  </si>
  <si>
    <t>EDP Brasil</t>
  </si>
  <si>
    <t>BOAS3</t>
  </si>
  <si>
    <t>Boa Vista</t>
  </si>
  <si>
    <t>COCE3</t>
  </si>
  <si>
    <t>JOPA4</t>
  </si>
  <si>
    <t>MODL3</t>
  </si>
  <si>
    <t>Banco Modal</t>
  </si>
  <si>
    <t>MERC3</t>
  </si>
  <si>
    <t>CEGR3</t>
  </si>
  <si>
    <t>Naturgy (CEG)</t>
  </si>
  <si>
    <t>CRDE3</t>
  </si>
  <si>
    <t>IGBR3</t>
  </si>
  <si>
    <t>IGB Eletrônica</t>
  </si>
  <si>
    <t>MSPA4</t>
  </si>
  <si>
    <t>Melhoramentos</t>
  </si>
  <si>
    <t>ODER4</t>
  </si>
  <si>
    <t>Conservas Oderich</t>
  </si>
  <si>
    <t>PARD3</t>
  </si>
  <si>
    <t>Hermes Pardini</t>
  </si>
  <si>
    <t>CASN3</t>
  </si>
  <si>
    <t>CASAN</t>
  </si>
  <si>
    <t>WIZS3</t>
  </si>
  <si>
    <t>LLIS3</t>
  </si>
  <si>
    <t>MSPA3</t>
  </si>
  <si>
    <t>BRML3</t>
  </si>
  <si>
    <t>BRMalls</t>
  </si>
  <si>
    <t>DMMO3</t>
  </si>
  <si>
    <t>Dommo Energia</t>
  </si>
  <si>
    <t>GETT3</t>
  </si>
  <si>
    <t>Getnet</t>
  </si>
  <si>
    <t>GETT4</t>
  </si>
  <si>
    <t>SULA4</t>
  </si>
  <si>
    <t>SulAmérica</t>
  </si>
  <si>
    <t>SULA3</t>
  </si>
  <si>
    <t>CEPE5</t>
  </si>
  <si>
    <t>CELPE</t>
  </si>
  <si>
    <t>TCNO4</t>
  </si>
  <si>
    <t>Tecnosolo</t>
  </si>
  <si>
    <t>TCNO3</t>
  </si>
  <si>
    <t>CEPE6</t>
  </si>
  <si>
    <t>BKBR3</t>
  </si>
  <si>
    <t>MTIG4</t>
  </si>
  <si>
    <t>Metalgráfica Iguaçu</t>
  </si>
  <si>
    <t>BLUT4</t>
  </si>
  <si>
    <t>Blue Tech Solutions</t>
  </si>
  <si>
    <t>BLUT3</t>
  </si>
  <si>
    <t>MODL4</t>
  </si>
  <si>
    <t>CARD3</t>
  </si>
  <si>
    <t>SHUL3</t>
  </si>
  <si>
    <t>FIGE3</t>
  </si>
  <si>
    <t>Investimentos Bemge</t>
  </si>
  <si>
    <t>FNCN3</t>
  </si>
  <si>
    <t>TEKA3</t>
  </si>
  <si>
    <t>HETA3</t>
  </si>
  <si>
    <t>LCAM3</t>
  </si>
  <si>
    <t>Locamerica</t>
  </si>
  <si>
    <t>BIDI4</t>
  </si>
  <si>
    <t>Banco Inter</t>
  </si>
  <si>
    <t>BIDI3</t>
  </si>
  <si>
    <t>EEEL4</t>
  </si>
  <si>
    <t>CEEE GT</t>
  </si>
  <si>
    <t>EEEL3</t>
  </si>
  <si>
    <t>BBRK3</t>
  </si>
  <si>
    <t>SOND3</t>
  </si>
  <si>
    <t>CESP6</t>
  </si>
  <si>
    <t>CESP</t>
  </si>
  <si>
    <t>CESP3</t>
  </si>
  <si>
    <t>CESP5</t>
  </si>
  <si>
    <t>ECPR4</t>
  </si>
  <si>
    <t>Encorpar</t>
  </si>
  <si>
    <t>MOSI3</t>
  </si>
  <si>
    <t>Mosaico</t>
  </si>
  <si>
    <t>POWE3</t>
  </si>
  <si>
    <t>Focus Energia</t>
  </si>
  <si>
    <t>ECPR3</t>
  </si>
  <si>
    <t>GNDI3</t>
  </si>
  <si>
    <t>NotreDame Intermédica</t>
  </si>
  <si>
    <t>LAME4</t>
  </si>
  <si>
    <t>Lojas Americanas</t>
  </si>
  <si>
    <t>LAME3</t>
  </si>
  <si>
    <t>OMGE3</t>
  </si>
  <si>
    <t>Omega Geração</t>
  </si>
  <si>
    <t>IGTA3</t>
  </si>
  <si>
    <t>JPSA3</t>
  </si>
  <si>
    <t>BRDT3</t>
  </si>
  <si>
    <t>JBDU4</t>
  </si>
  <si>
    <t>JBDU3</t>
  </si>
  <si>
    <t>HGTX3</t>
  </si>
  <si>
    <t>Hering</t>
  </si>
  <si>
    <t>CCPR3</t>
  </si>
  <si>
    <t>DTEX3</t>
  </si>
  <si>
    <t>VVAR3</t>
  </si>
  <si>
    <t>PNVL4</t>
  </si>
  <si>
    <t>TESA3</t>
  </si>
  <si>
    <t>BTOW3</t>
  </si>
  <si>
    <t>LINX3</t>
  </si>
  <si>
    <t>Linx</t>
  </si>
  <si>
    <t>BTTL3</t>
  </si>
  <si>
    <t>GPCP3</t>
  </si>
  <si>
    <t>GPCP4</t>
  </si>
  <si>
    <t>SMLS3</t>
  </si>
  <si>
    <t>Smiles</t>
  </si>
  <si>
    <t>MMXM3</t>
  </si>
  <si>
    <t>MMX Mineração</t>
  </si>
  <si>
    <t>BSEV3</t>
  </si>
  <si>
    <t>Biosev</t>
  </si>
  <si>
    <t>CNTO3</t>
  </si>
  <si>
    <t>TIET4</t>
  </si>
  <si>
    <t>AES Tietê Energia</t>
  </si>
  <si>
    <t>TIET3</t>
  </si>
  <si>
    <t>CORR4</t>
  </si>
  <si>
    <t>Corrêa Ribeiro</t>
  </si>
  <si>
    <t>CEPE3</t>
  </si>
  <si>
    <t>CALI4</t>
  </si>
  <si>
    <t>SNSY6</t>
  </si>
  <si>
    <t>CASN4</t>
  </si>
  <si>
    <t>EMAE3</t>
  </si>
  <si>
    <t>BPAR3</t>
  </si>
  <si>
    <t>Banpará</t>
  </si>
  <si>
    <t>APTI4</t>
  </si>
  <si>
    <t>Aliperti</t>
  </si>
  <si>
    <t>VSPT3</t>
  </si>
  <si>
    <t>FCA</t>
  </si>
  <si>
    <t>MTIG3</t>
  </si>
  <si>
    <t>FIGE4</t>
  </si>
  <si>
    <t>LUXM3</t>
  </si>
  <si>
    <t>TKNO3</t>
  </si>
  <si>
    <t>COCE6</t>
  </si>
  <si>
    <t>MGEL3</t>
  </si>
  <si>
    <t>CTSA8</t>
  </si>
  <si>
    <t>MMAQ4</t>
  </si>
  <si>
    <t>Minasmáquinas</t>
  </si>
  <si>
    <t>Maior</t>
  </si>
  <si>
    <t>Menor</t>
  </si>
  <si>
    <t>Média</t>
  </si>
  <si>
    <t>Média de quem subiu</t>
  </si>
  <si>
    <t>Média de quem desceu</t>
  </si>
  <si>
    <t>Variação por segmento</t>
  </si>
  <si>
    <t>Variação de quem subiu</t>
  </si>
  <si>
    <t>Variação (R$)</t>
  </si>
  <si>
    <t>Análise por faixa etária</t>
  </si>
  <si>
    <t>Quantidade de empresas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</si>
</sst>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[$R$ -416]#,##0.0000"/>
  </numFmts>
  <fonts count="6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  <fill>
      <patternFill patternType="solid">
        <fgColor rgb="FFD9F2D0"/>
        <bgColor rgb="FFD9F2D0"/>
      </patternFill>
    </fill>
    <fill>
      <patternFill patternType="solid">
        <fgColor rgb="FFC1E4F5"/>
        <bgColor rgb="FFC1E4F5"/>
      </patternFill>
    </fill>
    <fill>
      <patternFill patternType="solid">
        <fgColor rgb="FFFFD966"/>
        <bgColor rgb="FFFFD966"/>
      </patternFill>
    </fill>
  </fills>
  <borders count="6">
    <border/>
    <border>
      <left style="thin">
        <color rgb="FFE3E3E3"/>
      </left>
      <top style="thin">
        <color rgb="FFE3E3E3"/>
      </top>
      <bottom style="thin">
        <color rgb="FFE3E3E3"/>
      </bottom>
    </border>
    <border>
      <bottom style="thin">
        <color rgb="FF000000"/>
      </bottom>
    </border>
    <border>
      <left style="thin">
        <color rgb="FFE3E3E3"/>
      </left>
      <bottom style="thin">
        <color rgb="FFE3E3E3"/>
      </bottom>
    </border>
    <border>
      <left style="thin">
        <color rgb="FFE3E3E3"/>
      </left>
      <right style="thin">
        <color rgb="FFE3E3E3"/>
      </right>
      <bottom style="thin">
        <color rgb="FFE3E3E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2" xfId="0" applyAlignment="1" applyFont="1" applyNumberFormat="1">
      <alignment vertical="bottom"/>
    </xf>
    <xf borderId="0" fillId="2" fontId="1" numFmtId="0" xfId="0" applyAlignment="1" applyFont="1">
      <alignment readingOrder="0" vertical="bottom"/>
    </xf>
    <xf borderId="0" fillId="2" fontId="1" numFmtId="2" xfId="0" applyAlignment="1" applyFont="1" applyNumberFormat="1">
      <alignment readingOrder="0" vertical="bottom"/>
    </xf>
    <xf borderId="0" fillId="2" fontId="1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2" xfId="0" applyAlignment="1" applyFont="1" applyNumberFormat="1">
      <alignment readingOrder="0"/>
    </xf>
    <xf borderId="0" fillId="2" fontId="1" numFmtId="165" xfId="0" applyAlignment="1" applyFont="1" applyNumberFormat="1">
      <alignment readingOrder="0"/>
    </xf>
    <xf borderId="0" fillId="2" fontId="1" numFmtId="164" xfId="0" applyAlignment="1" applyFont="1" applyNumberFormat="1">
      <alignment readingOrder="0"/>
    </xf>
    <xf borderId="0" fillId="3" fontId="2" numFmtId="0" xfId="0" applyAlignment="1" applyFill="1" applyFont="1">
      <alignment vertical="bottom"/>
    </xf>
    <xf borderId="0" fillId="3" fontId="2" numFmtId="14" xfId="0" applyAlignment="1" applyFont="1" applyNumberFormat="1">
      <alignment horizontal="right" vertical="bottom"/>
    </xf>
    <xf borderId="0" fillId="3" fontId="2" numFmtId="2" xfId="0" applyAlignment="1" applyFont="1" applyNumberFormat="1">
      <alignment horizontal="right" vertical="bottom"/>
    </xf>
    <xf borderId="0" fillId="3" fontId="2" numFmtId="0" xfId="0" applyAlignment="1" applyFont="1">
      <alignment horizontal="right" vertical="bottom"/>
    </xf>
    <xf borderId="0" fillId="3" fontId="3" numFmtId="0" xfId="0" applyAlignment="1" applyFont="1">
      <alignment horizontal="right" vertical="bottom"/>
    </xf>
    <xf borderId="0" fillId="3" fontId="3" numFmtId="2" xfId="0" applyAlignment="1" applyFont="1" applyNumberFormat="1">
      <alignment horizontal="right" vertical="bottom"/>
    </xf>
    <xf borderId="0" fillId="3" fontId="4" numFmtId="3" xfId="0" applyFont="1" applyNumberFormat="1"/>
    <xf borderId="0" fillId="3" fontId="4" numFmtId="164" xfId="0" applyFont="1" applyNumberFormat="1"/>
    <xf borderId="0" fillId="3" fontId="4" numFmtId="0" xfId="0" applyFont="1"/>
    <xf borderId="0" fillId="3" fontId="4" numFmtId="2" xfId="0" applyFont="1" applyNumberFormat="1"/>
    <xf borderId="0" fillId="3" fontId="4" numFmtId="165" xfId="0" applyFont="1" applyNumberFormat="1"/>
    <xf borderId="0" fillId="3" fontId="4" numFmtId="164" xfId="0" applyFont="1" applyNumberFormat="1"/>
    <xf borderId="0" fillId="3" fontId="4" numFmtId="0" xfId="0" applyAlignment="1" applyFont="1">
      <alignment horizontal="right" readingOrder="0"/>
    </xf>
    <xf borderId="0" fillId="0" fontId="5" numFmtId="2" xfId="0" applyFont="1" applyNumberFormat="1"/>
    <xf borderId="0" fillId="0" fontId="4" numFmtId="0" xfId="0" applyFont="1"/>
    <xf borderId="0" fillId="0" fontId="4" numFmtId="2" xfId="0" applyFont="1" applyNumberFormat="1"/>
    <xf borderId="0" fillId="0" fontId="4" numFmtId="164" xfId="0" applyFont="1" applyNumberFormat="1"/>
    <xf borderId="0" fillId="0" fontId="5" numFmtId="164" xfId="0" applyFont="1" applyNumberFormat="1"/>
    <xf borderId="0" fillId="0" fontId="5" numFmtId="165" xfId="0" applyFont="1" applyNumberFormat="1"/>
    <xf borderId="0" fillId="0" fontId="5" numFmtId="164" xfId="0" applyFont="1" applyNumberFormat="1"/>
    <xf borderId="1" fillId="2" fontId="1" numFmtId="0" xfId="0" applyAlignment="1" applyBorder="1" applyFont="1">
      <alignment horizontal="center" readingOrder="0" shrinkToFit="0" vertical="bottom" wrapText="1"/>
    </xf>
    <xf borderId="2" fillId="2" fontId="1" numFmtId="0" xfId="0" applyAlignment="1" applyBorder="1" applyFont="1">
      <alignment horizontal="center" readingOrder="0" shrinkToFit="0" vertical="bottom" wrapText="1"/>
    </xf>
    <xf borderId="3" fillId="3" fontId="5" numFmtId="0" xfId="0" applyAlignment="1" applyBorder="1" applyFont="1">
      <alignment horizontal="left" readingOrder="0" shrinkToFit="0" wrapText="1"/>
    </xf>
    <xf borderId="4" fillId="3" fontId="5" numFmtId="0" xfId="0" applyAlignment="1" applyBorder="1" applyFont="1">
      <alignment horizontal="left" readingOrder="0" shrinkToFit="0" wrapText="1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3" xfId="0" applyAlignment="1" applyFont="1" applyNumberForma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2" fontId="2" numFmtId="0" xfId="0" applyAlignment="1" applyFont="1">
      <alignment vertical="bottom"/>
    </xf>
    <xf borderId="0" fillId="4" fontId="2" numFmtId="0" xfId="0" applyAlignment="1" applyFill="1" applyFont="1">
      <alignment vertical="bottom"/>
    </xf>
    <xf borderId="5" fillId="5" fontId="4" numFmtId="0" xfId="0" applyAlignment="1" applyBorder="1" applyFill="1" applyFont="1">
      <alignment readingOrder="0"/>
    </xf>
    <xf borderId="5" fillId="0" fontId="5" numFmtId="164" xfId="0" applyBorder="1" applyFont="1" applyNumberFormat="1"/>
    <xf borderId="5" fillId="0" fontId="5" numFmtId="0" xfId="0" applyBorder="1" applyFont="1"/>
    <xf borderId="0" fillId="0" fontId="4" numFmtId="0" xfId="0" applyAlignment="1" applyFont="1">
      <alignment readingOrder="0"/>
    </xf>
    <xf borderId="5" fillId="5" fontId="4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Variação de quem subiu versus Segmento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'Análises'!$C$10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240C0A"/>
              </a:solidFill>
            </c:spPr>
          </c:dPt>
          <c:dPt>
            <c:idx val="30"/>
            <c:spPr>
              <a:solidFill>
                <a:srgbClr val="5E3C05"/>
              </a:solidFill>
            </c:spPr>
          </c:dPt>
          <c:dPt>
            <c:idx val="31"/>
            <c:spPr>
              <a:solidFill>
                <a:srgbClr val="0A5D64"/>
              </a:solidFill>
            </c:spPr>
          </c:dPt>
          <c:dPt>
            <c:idx val="32"/>
            <c:spPr>
              <a:solidFill>
                <a:srgbClr val="01217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'Análises'!$A$11:$A$43</c:f>
            </c:strRef>
          </c:cat>
          <c:val>
            <c:numRef>
              <c:f>'Análises'!$C$11:$C$43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Variação (R$) versus Resultado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'Análises'!$B$50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'Análises'!$A$51:$A$53</c:f>
            </c:strRef>
          </c:cat>
          <c:val>
            <c:numRef>
              <c:f>'Análises'!$B$51:$B$53</c:f>
              <c:numCache/>
            </c:numRef>
          </c:val>
        </c:ser>
        <c:axId val="1163832332"/>
        <c:axId val="1250188767"/>
      </c:barChart>
      <c:catAx>
        <c:axId val="11638323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Resultado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0188767"/>
      </c:catAx>
      <c:valAx>
        <c:axId val="12501887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Variação (R$)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383233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Variação (R$) versus Análise por faixa etária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'Análises'!$B$58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'Análises'!$A$59:$A$61</c:f>
            </c:strRef>
          </c:cat>
          <c:val>
            <c:numRef>
              <c:f>'Análises'!$B$59:$B$61</c:f>
              <c:numCache/>
            </c:numRef>
          </c:val>
        </c:ser>
        <c:axId val="2002256140"/>
        <c:axId val="1681572116"/>
      </c:barChart>
      <c:catAx>
        <c:axId val="20022561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Análise por faixa etária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1572116"/>
      </c:catAx>
      <c:valAx>
        <c:axId val="16815721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Variação (R$)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225614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Quantidade de empresas versus Análise por faixa etária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'Análises'!$C$58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'Análises'!$A$59:$A$61</c:f>
            </c:strRef>
          </c:cat>
          <c:val>
            <c:numRef>
              <c:f>'Análises'!$C$59:$C$61</c:f>
              <c:numCache/>
            </c:numRef>
          </c:val>
        </c:ser>
        <c:axId val="1423153194"/>
        <c:axId val="1658724153"/>
      </c:barChart>
      <c:catAx>
        <c:axId val="142315319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Análise por faixa etária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8724153"/>
      </c:catAx>
      <c:valAx>
        <c:axId val="165872415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Quantidade de empresas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315319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266700</xdr:colOff>
      <xdr:row>8</xdr:row>
      <xdr:rowOff>190500</xdr:rowOff>
    </xdr:from>
    <xdr:ext cx="5610225" cy="34766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485775</xdr:colOff>
      <xdr:row>45</xdr:row>
      <xdr:rowOff>19050</xdr:rowOff>
    </xdr:from>
    <xdr:ext cx="6686550" cy="19907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371475</xdr:colOff>
      <xdr:row>55</xdr:row>
      <xdr:rowOff>104775</xdr:rowOff>
    </xdr:from>
    <xdr:ext cx="6477000" cy="25622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76200</xdr:colOff>
      <xdr:row>62</xdr:row>
      <xdr:rowOff>133350</xdr:rowOff>
    </xdr:from>
    <xdr:ext cx="4495800" cy="28860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4.0"/>
    <col customWidth="1" min="13" max="13" width="18.13"/>
    <col customWidth="1" min="14" max="14" width="20.5"/>
    <col customWidth="1" min="15" max="15" width="19.38"/>
    <col customWidth="1" min="17" max="17" width="18.75"/>
    <col customWidth="1" min="18" max="18" width="16.75"/>
    <col customWidth="1" min="19" max="19" width="9.0"/>
    <col customWidth="1" min="20" max="20" width="14.13"/>
    <col customWidth="1" min="21" max="21" width="15.25"/>
    <col customWidth="1" min="22" max="36" width="19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5" t="s">
        <v>13</v>
      </c>
      <c r="O1" s="6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7" t="s">
        <v>21</v>
      </c>
      <c r="W1" s="6" t="s">
        <v>22</v>
      </c>
      <c r="X1" s="6" t="s">
        <v>23</v>
      </c>
      <c r="Y1" s="8" t="s">
        <v>24</v>
      </c>
      <c r="Z1" s="6" t="s">
        <v>25</v>
      </c>
      <c r="AA1" s="6" t="s">
        <v>26</v>
      </c>
      <c r="AB1" s="6" t="s">
        <v>27</v>
      </c>
      <c r="AC1" s="8" t="s">
        <v>28</v>
      </c>
      <c r="AD1" s="9" t="s">
        <v>29</v>
      </c>
      <c r="AE1" s="9" t="s">
        <v>30</v>
      </c>
      <c r="AF1" s="9" t="s">
        <v>31</v>
      </c>
      <c r="AG1" s="8" t="s">
        <v>32</v>
      </c>
      <c r="AH1" s="9" t="s">
        <v>33</v>
      </c>
      <c r="AI1" s="9" t="s">
        <v>34</v>
      </c>
      <c r="AJ1" s="9" t="s">
        <v>35</v>
      </c>
    </row>
    <row r="2">
      <c r="A2" s="10" t="s">
        <v>36</v>
      </c>
      <c r="B2" s="11">
        <v>45317.0</v>
      </c>
      <c r="C2" s="12">
        <v>9.5</v>
      </c>
      <c r="D2" s="13">
        <v>5.2</v>
      </c>
      <c r="E2" s="13">
        <v>11.76</v>
      </c>
      <c r="F2" s="13">
        <v>2.26</v>
      </c>
      <c r="G2" s="13">
        <v>2.26</v>
      </c>
      <c r="H2" s="13">
        <v>15.97</v>
      </c>
      <c r="I2" s="13">
        <v>9.56</v>
      </c>
      <c r="J2" s="13">
        <v>9.18</v>
      </c>
      <c r="K2" s="10" t="s">
        <v>37</v>
      </c>
      <c r="L2" s="14">
        <f t="shared" ref="L2:L82" si="1">D2/100</f>
        <v>0.052</v>
      </c>
      <c r="M2" s="15">
        <f t="shared" ref="M2:M82" si="2">C2/(L2+1)</f>
        <v>9.030418251</v>
      </c>
      <c r="N2" s="16">
        <f>VLOOKUP(A2,'Total de Ações'!A:B,2,0)</f>
        <v>515117391</v>
      </c>
      <c r="O2" s="17">
        <f t="shared" ref="O2:O82" si="3">(C2-M2)*N2</f>
        <v>241889725.4</v>
      </c>
      <c r="P2" s="18" t="str">
        <f t="shared" ref="P2:P82" si="4">IF(O2&gt;0,"Subiu",if(O2&lt;0,"Desceu","Estável"))</f>
        <v>Subiu</v>
      </c>
      <c r="Q2" s="18" t="str">
        <f>VLOOKUP(A2,Ticker!A:B,2,0)</f>
        <v>Usiminas</v>
      </c>
      <c r="R2" s="18" t="str">
        <f>VLOOKUP(Q2,ChatGpt!A:C,2,0)</f>
        <v>Siderurgia</v>
      </c>
      <c r="S2" s="18">
        <f>VLOOKUP(Q2,ChatGpt!A:C,3,0)</f>
        <v>60</v>
      </c>
      <c r="T2" s="18" t="str">
        <f t="shared" ref="T2:T82" si="5">IF(S2&gt;100,"Mais de 100", IF(S2&lt;50,"Menos de 50","Entre 50 e 100"))</f>
        <v>Entre 50 e 100</v>
      </c>
      <c r="U2" s="18">
        <f t="shared" ref="U2:U82" si="6">E2/100</f>
        <v>0.1176</v>
      </c>
      <c r="V2" s="19">
        <f t="shared" ref="V2:V82" si="7">C2/(U2+1)</f>
        <v>8.50035791</v>
      </c>
      <c r="W2" s="17">
        <f t="shared" ref="W2:W82" si="8">(C2-V2)*N2</f>
        <v>514933025.4</v>
      </c>
      <c r="X2" s="17" t="str">
        <f t="shared" ref="X2:X82" si="9">IF(W2&gt;0,"Subiu",IF(W2&lt;0,"Desceu","Estável"))</f>
        <v>Subiu</v>
      </c>
      <c r="Y2" s="20">
        <f t="shared" ref="Y2:Y82" si="10">F2/100</f>
        <v>0.0226</v>
      </c>
      <c r="Z2" s="17">
        <f t="shared" ref="Z2:Z82" si="11">C2/(Y2+1)</f>
        <v>9.290044983</v>
      </c>
      <c r="AA2" s="17">
        <f t="shared" ref="AA2:AA82" si="12">(C2-Z2)*N2</f>
        <v>108151480.4</v>
      </c>
      <c r="AB2" s="17" t="str">
        <f t="shared" ref="AB2:AB82" si="13">IF(AA2&gt;0,"Subiu",(IF(AA2&lt;0,"Desceu","Estável")))</f>
        <v>Subiu</v>
      </c>
      <c r="AC2" s="20">
        <f t="shared" ref="AC2:AC82" si="14">G2/100</f>
        <v>0.0226</v>
      </c>
      <c r="AD2" s="21">
        <f t="shared" ref="AD2:AD82" si="15">C2/(AC2+1)</f>
        <v>9.290044983</v>
      </c>
      <c r="AE2" s="21">
        <f t="shared" ref="AE2:AE82" si="16">(C2-AD2)*N2</f>
        <v>108151480.4</v>
      </c>
      <c r="AF2" s="21" t="str">
        <f t="shared" ref="AF2:AF82" si="17">IF(AE2&gt;0,"Subiu",IF(AE2&lt;0,"Desceu","Estável"))</f>
        <v>Subiu</v>
      </c>
      <c r="AG2" s="20">
        <f t="shared" ref="AG2:AG82" si="18">H2/100</f>
        <v>0.1597</v>
      </c>
      <c r="AH2" s="21">
        <f t="shared" ref="AH2:AH82" si="19">C2/(AG2+1)</f>
        <v>8.191773735</v>
      </c>
      <c r="AI2" s="21">
        <f t="shared" ref="AI2:AI82" si="20">(C2-AH2)*N2</f>
        <v>673890100.7</v>
      </c>
      <c r="AJ2" s="21" t="str">
        <f t="shared" ref="AJ2:AJ82" si="21">IF(AI2&gt;0,"Subiu",IF(AI2&lt;0,"Desceu","Estável"))</f>
        <v>Subiu</v>
      </c>
    </row>
    <row r="3">
      <c r="A3" s="10" t="s">
        <v>38</v>
      </c>
      <c r="B3" s="11">
        <v>45317.0</v>
      </c>
      <c r="C3" s="12">
        <v>6.82</v>
      </c>
      <c r="D3" s="13">
        <v>2.4</v>
      </c>
      <c r="E3" s="13">
        <v>2.4</v>
      </c>
      <c r="F3" s="13">
        <v>-12.11</v>
      </c>
      <c r="G3" s="13">
        <v>-12.11</v>
      </c>
      <c r="H3" s="13">
        <v>50.56</v>
      </c>
      <c r="I3" s="13">
        <v>6.86</v>
      </c>
      <c r="J3" s="13">
        <v>6.66</v>
      </c>
      <c r="K3" s="10" t="s">
        <v>39</v>
      </c>
      <c r="L3" s="14">
        <f t="shared" si="1"/>
        <v>0.024</v>
      </c>
      <c r="M3" s="15">
        <f t="shared" si="2"/>
        <v>6.66015625</v>
      </c>
      <c r="N3" s="16">
        <f>VLOOKUP(A3,'Total de Ações'!A:B,2,0)</f>
        <v>1110559345</v>
      </c>
      <c r="O3" s="17">
        <f t="shared" si="3"/>
        <v>177515970.3</v>
      </c>
      <c r="P3" s="18" t="str">
        <f t="shared" si="4"/>
        <v>Subiu</v>
      </c>
      <c r="Q3" s="18" t="str">
        <f>VLOOKUP(A3,Ticker!A:B,2,0)</f>
        <v>CSN Mineração</v>
      </c>
      <c r="R3" s="18" t="str">
        <f>VLOOKUP(Q3,ChatGpt!A:C,2,0)</f>
        <v>Mineração</v>
      </c>
      <c r="S3" s="18">
        <f>VLOOKUP(Q3,ChatGpt!A:C,3,0)</f>
        <v>50</v>
      </c>
      <c r="T3" s="18" t="str">
        <f t="shared" si="5"/>
        <v>Entre 50 e 100</v>
      </c>
      <c r="U3" s="18">
        <f t="shared" si="6"/>
        <v>0.024</v>
      </c>
      <c r="V3" s="19">
        <f t="shared" si="7"/>
        <v>6.66015625</v>
      </c>
      <c r="W3" s="17">
        <f t="shared" si="8"/>
        <v>177515970.3</v>
      </c>
      <c r="X3" s="17" t="str">
        <f t="shared" si="9"/>
        <v>Subiu</v>
      </c>
      <c r="Y3" s="20">
        <f t="shared" si="10"/>
        <v>-0.1211</v>
      </c>
      <c r="Z3" s="17">
        <f t="shared" si="11"/>
        <v>7.759699625</v>
      </c>
      <c r="AA3" s="17">
        <f t="shared" si="12"/>
        <v>-1043592200</v>
      </c>
      <c r="AB3" s="17" t="str">
        <f t="shared" si="13"/>
        <v>Desceu</v>
      </c>
      <c r="AC3" s="20">
        <f t="shared" si="14"/>
        <v>-0.1211</v>
      </c>
      <c r="AD3" s="21">
        <f t="shared" si="15"/>
        <v>7.759699625</v>
      </c>
      <c r="AE3" s="21">
        <f t="shared" si="16"/>
        <v>-1043592200</v>
      </c>
      <c r="AF3" s="21" t="str">
        <f t="shared" si="17"/>
        <v>Desceu</v>
      </c>
      <c r="AG3" s="20">
        <f t="shared" si="18"/>
        <v>0.5056</v>
      </c>
      <c r="AH3" s="21">
        <f t="shared" si="19"/>
        <v>4.529755579</v>
      </c>
      <c r="AI3" s="21">
        <f t="shared" si="20"/>
        <v>2543452344</v>
      </c>
      <c r="AJ3" s="21" t="str">
        <f t="shared" si="21"/>
        <v>Subiu</v>
      </c>
    </row>
    <row r="4">
      <c r="A4" s="10" t="s">
        <v>40</v>
      </c>
      <c r="B4" s="11">
        <v>45317.0</v>
      </c>
      <c r="C4" s="12">
        <v>41.96</v>
      </c>
      <c r="D4" s="13">
        <v>2.19</v>
      </c>
      <c r="E4" s="13">
        <v>7.73</v>
      </c>
      <c r="F4" s="13">
        <v>7.64</v>
      </c>
      <c r="G4" s="13">
        <v>7.64</v>
      </c>
      <c r="H4" s="13">
        <v>77.55</v>
      </c>
      <c r="I4" s="13">
        <v>42.34</v>
      </c>
      <c r="J4" s="13">
        <v>40.81</v>
      </c>
      <c r="K4" s="10" t="s">
        <v>41</v>
      </c>
      <c r="L4" s="14">
        <f t="shared" si="1"/>
        <v>0.0219</v>
      </c>
      <c r="M4" s="15">
        <f t="shared" si="2"/>
        <v>41.06076916</v>
      </c>
      <c r="N4" s="16">
        <f>VLOOKUP(A4,'Total de Ações'!A:B,2,0)</f>
        <v>2379877655</v>
      </c>
      <c r="O4" s="17">
        <f t="shared" si="3"/>
        <v>2140059394</v>
      </c>
      <c r="P4" s="18" t="str">
        <f t="shared" si="4"/>
        <v>Subiu</v>
      </c>
      <c r="Q4" s="18" t="str">
        <f>VLOOKUP(A4,Ticker!A:B,2,0)</f>
        <v>Petrobras</v>
      </c>
      <c r="R4" s="18" t="str">
        <f>VLOOKUP(Q4,ChatGpt!A:C,2,0)</f>
        <v>Petróleo e Gás</v>
      </c>
      <c r="S4" s="18">
        <f>VLOOKUP(Q4,ChatGpt!A:C,3,0)</f>
        <v>60</v>
      </c>
      <c r="T4" s="18" t="str">
        <f t="shared" si="5"/>
        <v>Entre 50 e 100</v>
      </c>
      <c r="U4" s="18">
        <f t="shared" si="6"/>
        <v>0.0773</v>
      </c>
      <c r="V4" s="19">
        <f t="shared" si="7"/>
        <v>38.94922491</v>
      </c>
      <c r="W4" s="17">
        <f t="shared" si="8"/>
        <v>7165276351</v>
      </c>
      <c r="X4" s="17" t="str">
        <f t="shared" si="9"/>
        <v>Subiu</v>
      </c>
      <c r="Y4" s="20">
        <f t="shared" si="10"/>
        <v>0.0764</v>
      </c>
      <c r="Z4" s="17">
        <f t="shared" si="11"/>
        <v>38.98179116</v>
      </c>
      <c r="AA4" s="17">
        <f t="shared" si="12"/>
        <v>7087772680</v>
      </c>
      <c r="AB4" s="17" t="str">
        <f t="shared" si="13"/>
        <v>Subiu</v>
      </c>
      <c r="AC4" s="20">
        <f t="shared" si="14"/>
        <v>0.0764</v>
      </c>
      <c r="AD4" s="21">
        <f t="shared" si="15"/>
        <v>38.98179116</v>
      </c>
      <c r="AE4" s="21">
        <f t="shared" si="16"/>
        <v>7087772680</v>
      </c>
      <c r="AF4" s="21" t="str">
        <f t="shared" si="17"/>
        <v>Subiu</v>
      </c>
      <c r="AG4" s="20">
        <f t="shared" si="18"/>
        <v>0.7755</v>
      </c>
      <c r="AH4" s="21">
        <f t="shared" si="19"/>
        <v>23.6327795</v>
      </c>
      <c r="AI4" s="21">
        <f t="shared" si="20"/>
        <v>43616542549</v>
      </c>
      <c r="AJ4" s="21" t="str">
        <f t="shared" si="21"/>
        <v>Subiu</v>
      </c>
    </row>
    <row r="5">
      <c r="A5" s="10" t="s">
        <v>42</v>
      </c>
      <c r="B5" s="11">
        <v>45317.0</v>
      </c>
      <c r="C5" s="12">
        <v>52.91</v>
      </c>
      <c r="D5" s="13">
        <v>2.04</v>
      </c>
      <c r="E5" s="13">
        <v>2.14</v>
      </c>
      <c r="F5" s="13">
        <v>-4.89</v>
      </c>
      <c r="G5" s="13">
        <v>-4.89</v>
      </c>
      <c r="H5" s="13">
        <v>18.85</v>
      </c>
      <c r="I5" s="13">
        <v>53.17</v>
      </c>
      <c r="J5" s="13">
        <v>51.89</v>
      </c>
      <c r="K5" s="10" t="s">
        <v>43</v>
      </c>
      <c r="L5" s="14">
        <f t="shared" si="1"/>
        <v>0.0204</v>
      </c>
      <c r="M5" s="15">
        <f t="shared" si="2"/>
        <v>51.85221482</v>
      </c>
      <c r="N5" s="16">
        <f>VLOOKUP(A5,'Total de Ações'!A:B,2,0)</f>
        <v>683452836</v>
      </c>
      <c r="O5" s="17">
        <f t="shared" si="3"/>
        <v>722946282.7</v>
      </c>
      <c r="P5" s="18" t="str">
        <f t="shared" si="4"/>
        <v>Subiu</v>
      </c>
      <c r="Q5" s="18" t="str">
        <f>VLOOKUP(A5,Ticker!A:B,2,0)</f>
        <v>Suzano</v>
      </c>
      <c r="R5" s="18" t="str">
        <f>VLOOKUP(Q5,ChatGpt!A:C,2,0)</f>
        <v>Papel e Celulose</v>
      </c>
      <c r="S5" s="18">
        <f>VLOOKUP(Q5,ChatGpt!A:C,3,0)</f>
        <v>90</v>
      </c>
      <c r="T5" s="18" t="str">
        <f t="shared" si="5"/>
        <v>Entre 50 e 100</v>
      </c>
      <c r="U5" s="18">
        <f t="shared" si="6"/>
        <v>0.0214</v>
      </c>
      <c r="V5" s="19">
        <f t="shared" si="7"/>
        <v>51.80144899</v>
      </c>
      <c r="W5" s="17">
        <f t="shared" si="8"/>
        <v>757642330.6</v>
      </c>
      <c r="X5" s="17" t="str">
        <f t="shared" si="9"/>
        <v>Subiu</v>
      </c>
      <c r="Y5" s="20">
        <f t="shared" si="10"/>
        <v>-0.0489</v>
      </c>
      <c r="Z5" s="17">
        <f t="shared" si="11"/>
        <v>55.63032278</v>
      </c>
      <c r="AA5" s="17">
        <f t="shared" si="12"/>
        <v>-1859212322</v>
      </c>
      <c r="AB5" s="17" t="str">
        <f t="shared" si="13"/>
        <v>Desceu</v>
      </c>
      <c r="AC5" s="20">
        <f t="shared" si="14"/>
        <v>-0.0489</v>
      </c>
      <c r="AD5" s="21">
        <f t="shared" si="15"/>
        <v>55.63032278</v>
      </c>
      <c r="AE5" s="21">
        <f t="shared" si="16"/>
        <v>-1859212322</v>
      </c>
      <c r="AF5" s="21" t="str">
        <f t="shared" si="17"/>
        <v>Desceu</v>
      </c>
      <c r="AG5" s="20">
        <f t="shared" si="18"/>
        <v>0.1885</v>
      </c>
      <c r="AH5" s="21">
        <f t="shared" si="19"/>
        <v>44.51830038</v>
      </c>
      <c r="AI5" s="21">
        <f t="shared" si="20"/>
        <v>5735330905</v>
      </c>
      <c r="AJ5" s="21" t="str">
        <f t="shared" si="21"/>
        <v>Subiu</v>
      </c>
    </row>
    <row r="6">
      <c r="A6" s="10" t="s">
        <v>44</v>
      </c>
      <c r="B6" s="11">
        <v>45317.0</v>
      </c>
      <c r="C6" s="12">
        <v>37.1</v>
      </c>
      <c r="D6" s="13">
        <v>2.03</v>
      </c>
      <c r="E6" s="13">
        <v>2.49</v>
      </c>
      <c r="F6" s="13">
        <v>-3.66</v>
      </c>
      <c r="G6" s="13">
        <v>-3.66</v>
      </c>
      <c r="H6" s="13">
        <v>20.7</v>
      </c>
      <c r="I6" s="13">
        <v>37.32</v>
      </c>
      <c r="J6" s="13">
        <v>36.37</v>
      </c>
      <c r="K6" s="10" t="s">
        <v>45</v>
      </c>
      <c r="L6" s="14">
        <f t="shared" si="1"/>
        <v>0.0203</v>
      </c>
      <c r="M6" s="15">
        <f t="shared" si="2"/>
        <v>36.36185436</v>
      </c>
      <c r="N6" s="16">
        <f>VLOOKUP(A6,'Total de Ações'!A:B,2,0)</f>
        <v>187732538</v>
      </c>
      <c r="O6" s="17">
        <f t="shared" si="3"/>
        <v>138573955.1</v>
      </c>
      <c r="P6" s="18" t="str">
        <f t="shared" si="4"/>
        <v>Subiu</v>
      </c>
      <c r="Q6" s="18" t="str">
        <f>VLOOKUP(A6,Ticker!A:B,2,0)</f>
        <v>CPFL Energia</v>
      </c>
      <c r="R6" s="18" t="str">
        <f>VLOOKUP(Q6,ChatGpt!A:C,2,0)</f>
        <v>Energia</v>
      </c>
      <c r="S6" s="18">
        <f>VLOOKUP(Q6,ChatGpt!A:C,3,0)</f>
        <v>100</v>
      </c>
      <c r="T6" s="18" t="str">
        <f t="shared" si="5"/>
        <v>Entre 50 e 100</v>
      </c>
      <c r="U6" s="18">
        <f t="shared" si="6"/>
        <v>0.0249</v>
      </c>
      <c r="V6" s="19">
        <f t="shared" si="7"/>
        <v>36.19865353</v>
      </c>
      <c r="W6" s="17">
        <f t="shared" si="8"/>
        <v>169212061</v>
      </c>
      <c r="X6" s="17" t="str">
        <f t="shared" si="9"/>
        <v>Subiu</v>
      </c>
      <c r="Y6" s="20">
        <f t="shared" si="10"/>
        <v>-0.0366</v>
      </c>
      <c r="Z6" s="17">
        <f t="shared" si="11"/>
        <v>38.50944571</v>
      </c>
      <c r="AA6" s="17">
        <f t="shared" si="12"/>
        <v>-264598820.9</v>
      </c>
      <c r="AB6" s="17" t="str">
        <f t="shared" si="13"/>
        <v>Desceu</v>
      </c>
      <c r="AC6" s="20">
        <f t="shared" si="14"/>
        <v>-0.0366</v>
      </c>
      <c r="AD6" s="21">
        <f t="shared" si="15"/>
        <v>38.50944571</v>
      </c>
      <c r="AE6" s="21">
        <f t="shared" si="16"/>
        <v>-264598820.9</v>
      </c>
      <c r="AF6" s="21" t="str">
        <f t="shared" si="17"/>
        <v>Desceu</v>
      </c>
      <c r="AG6" s="20">
        <f t="shared" si="18"/>
        <v>0.207</v>
      </c>
      <c r="AH6" s="21">
        <f t="shared" si="19"/>
        <v>30.73736537</v>
      </c>
      <c r="AI6" s="21">
        <f t="shared" si="20"/>
        <v>1194473548</v>
      </c>
      <c r="AJ6" s="21" t="str">
        <f t="shared" si="21"/>
        <v>Subiu</v>
      </c>
    </row>
    <row r="7">
      <c r="A7" s="10" t="s">
        <v>46</v>
      </c>
      <c r="B7" s="11">
        <v>45317.0</v>
      </c>
      <c r="C7" s="12">
        <v>45.69</v>
      </c>
      <c r="D7" s="13">
        <v>1.98</v>
      </c>
      <c r="E7" s="13">
        <v>2.42</v>
      </c>
      <c r="F7" s="13">
        <v>-0.78</v>
      </c>
      <c r="G7" s="13">
        <v>-0.78</v>
      </c>
      <c r="H7" s="13">
        <v>8.08</v>
      </c>
      <c r="I7" s="13">
        <v>45.69</v>
      </c>
      <c r="J7" s="13">
        <v>44.25</v>
      </c>
      <c r="K7" s="10" t="s">
        <v>47</v>
      </c>
      <c r="L7" s="14">
        <f t="shared" si="1"/>
        <v>0.0198</v>
      </c>
      <c r="M7" s="15">
        <f t="shared" si="2"/>
        <v>44.80290253</v>
      </c>
      <c r="N7" s="16">
        <f>VLOOKUP(A7,'Total de Ações'!A:B,2,0)</f>
        <v>800010734</v>
      </c>
      <c r="O7" s="17">
        <f t="shared" si="3"/>
        <v>709687498.2</v>
      </c>
      <c r="P7" s="18" t="str">
        <f t="shared" si="4"/>
        <v>Subiu</v>
      </c>
      <c r="Q7" s="18" t="str">
        <f>VLOOKUP(A7,Ticker!A:B,2,0)</f>
        <v>PetroRio</v>
      </c>
      <c r="R7" s="18" t="str">
        <f>VLOOKUP(Q7,ChatGpt!A:C,2,0)</f>
        <v>Petróleo e Gás</v>
      </c>
      <c r="S7" s="22">
        <v>9.0</v>
      </c>
      <c r="T7" s="18" t="str">
        <f t="shared" si="5"/>
        <v>Menos de 50</v>
      </c>
      <c r="U7" s="18">
        <f t="shared" si="6"/>
        <v>0.0242</v>
      </c>
      <c r="V7" s="19">
        <f t="shared" si="7"/>
        <v>44.61042765</v>
      </c>
      <c r="W7" s="17">
        <f t="shared" si="8"/>
        <v>863669467.5</v>
      </c>
      <c r="X7" s="17" t="str">
        <f t="shared" si="9"/>
        <v>Subiu</v>
      </c>
      <c r="Y7" s="20">
        <f t="shared" si="10"/>
        <v>-0.0078</v>
      </c>
      <c r="Z7" s="17">
        <f t="shared" si="11"/>
        <v>46.04918363</v>
      </c>
      <c r="AA7" s="17">
        <f t="shared" si="12"/>
        <v>-287350761.3</v>
      </c>
      <c r="AB7" s="17" t="str">
        <f t="shared" si="13"/>
        <v>Desceu</v>
      </c>
      <c r="AC7" s="20">
        <f t="shared" si="14"/>
        <v>-0.0078</v>
      </c>
      <c r="AD7" s="21">
        <f t="shared" si="15"/>
        <v>46.04918363</v>
      </c>
      <c r="AE7" s="21">
        <f t="shared" si="16"/>
        <v>-287350761.3</v>
      </c>
      <c r="AF7" s="21" t="str">
        <f t="shared" si="17"/>
        <v>Desceu</v>
      </c>
      <c r="AG7" s="20">
        <f t="shared" si="18"/>
        <v>0.0808</v>
      </c>
      <c r="AH7" s="21">
        <f t="shared" si="19"/>
        <v>42.2742413</v>
      </c>
      <c r="AI7" s="21">
        <f t="shared" si="20"/>
        <v>2732643623</v>
      </c>
      <c r="AJ7" s="21" t="str">
        <f t="shared" si="21"/>
        <v>Subiu</v>
      </c>
    </row>
    <row r="8">
      <c r="A8" s="10" t="s">
        <v>48</v>
      </c>
      <c r="B8" s="11">
        <v>45317.0</v>
      </c>
      <c r="C8" s="12">
        <v>39.96</v>
      </c>
      <c r="D8" s="13">
        <v>1.73</v>
      </c>
      <c r="E8" s="13">
        <v>6.47</v>
      </c>
      <c r="F8" s="13">
        <v>7.3</v>
      </c>
      <c r="G8" s="13">
        <v>7.3</v>
      </c>
      <c r="H8" s="13">
        <v>95.01</v>
      </c>
      <c r="I8" s="13">
        <v>40.09</v>
      </c>
      <c r="J8" s="13">
        <v>38.91</v>
      </c>
      <c r="K8" s="10" t="s">
        <v>49</v>
      </c>
      <c r="L8" s="14">
        <f t="shared" si="1"/>
        <v>0.0173</v>
      </c>
      <c r="M8" s="15">
        <f t="shared" si="2"/>
        <v>39.28044825</v>
      </c>
      <c r="N8" s="16">
        <f>VLOOKUP(A8,'Total de Ações'!A:B,2,0)</f>
        <v>4566445852</v>
      </c>
      <c r="O8" s="17">
        <f t="shared" si="3"/>
        <v>3103136291</v>
      </c>
      <c r="P8" s="18" t="str">
        <f t="shared" si="4"/>
        <v>Subiu</v>
      </c>
      <c r="Q8" s="18" t="str">
        <f>VLOOKUP(A8,Ticker!A:B,2,0)</f>
        <v>Petrobras</v>
      </c>
      <c r="R8" s="18" t="str">
        <f>VLOOKUP(Q8,ChatGpt!A:C,2,0)</f>
        <v>Petróleo e Gás</v>
      </c>
      <c r="S8" s="18">
        <f>VLOOKUP(Q8,ChatGpt!A:C,3,0)</f>
        <v>60</v>
      </c>
      <c r="T8" s="18" t="str">
        <f t="shared" si="5"/>
        <v>Entre 50 e 100</v>
      </c>
      <c r="U8" s="18">
        <f t="shared" si="6"/>
        <v>0.0647</v>
      </c>
      <c r="V8" s="19">
        <f t="shared" si="7"/>
        <v>37.53169907</v>
      </c>
      <c r="W8" s="17">
        <f t="shared" si="8"/>
        <v>11088704708</v>
      </c>
      <c r="X8" s="17" t="str">
        <f t="shared" si="9"/>
        <v>Subiu</v>
      </c>
      <c r="Y8" s="20">
        <f t="shared" si="10"/>
        <v>0.073</v>
      </c>
      <c r="Z8" s="17">
        <f t="shared" si="11"/>
        <v>37.24137931</v>
      </c>
      <c r="AA8" s="17">
        <f t="shared" si="12"/>
        <v>12414434171</v>
      </c>
      <c r="AB8" s="17" t="str">
        <f t="shared" si="13"/>
        <v>Subiu</v>
      </c>
      <c r="AC8" s="20">
        <f t="shared" si="14"/>
        <v>0.073</v>
      </c>
      <c r="AD8" s="21">
        <f t="shared" si="15"/>
        <v>37.24137931</v>
      </c>
      <c r="AE8" s="21">
        <f t="shared" si="16"/>
        <v>12414434171</v>
      </c>
      <c r="AF8" s="21" t="str">
        <f t="shared" si="17"/>
        <v>Subiu</v>
      </c>
      <c r="AG8" s="20">
        <f t="shared" si="18"/>
        <v>0.9501</v>
      </c>
      <c r="AH8" s="21">
        <f t="shared" si="19"/>
        <v>20.49125686</v>
      </c>
      <c r="AI8" s="21">
        <f t="shared" si="20"/>
        <v>88902961362</v>
      </c>
      <c r="AJ8" s="21" t="str">
        <f t="shared" si="21"/>
        <v>Subiu</v>
      </c>
    </row>
    <row r="9">
      <c r="A9" s="10" t="s">
        <v>50</v>
      </c>
      <c r="B9" s="11">
        <v>45317.0</v>
      </c>
      <c r="C9" s="12">
        <v>69.5</v>
      </c>
      <c r="D9" s="13">
        <v>1.66</v>
      </c>
      <c r="E9" s="13">
        <v>2.06</v>
      </c>
      <c r="F9" s="13">
        <v>-9.97</v>
      </c>
      <c r="G9" s="13">
        <v>-9.97</v>
      </c>
      <c r="H9" s="13">
        <v>-23.49</v>
      </c>
      <c r="I9" s="13">
        <v>69.81</v>
      </c>
      <c r="J9" s="13">
        <v>67.5</v>
      </c>
      <c r="K9" s="10" t="s">
        <v>51</v>
      </c>
      <c r="L9" s="14">
        <f t="shared" si="1"/>
        <v>0.0166</v>
      </c>
      <c r="M9" s="15">
        <f t="shared" si="2"/>
        <v>68.3651387</v>
      </c>
      <c r="N9" s="16">
        <f>VLOOKUP(A9,'Total de Ações'!A:B,2,0)</f>
        <v>4196924316</v>
      </c>
      <c r="O9" s="17">
        <f t="shared" si="3"/>
        <v>4762926995</v>
      </c>
      <c r="P9" s="18" t="str">
        <f t="shared" si="4"/>
        <v>Subiu</v>
      </c>
      <c r="Q9" s="18" t="str">
        <f>VLOOKUP(A9,Ticker!A:B,2,0)</f>
        <v>Vale</v>
      </c>
      <c r="R9" s="18" t="str">
        <f>VLOOKUP(Q9,ChatGpt!A:C,2,0)</f>
        <v>Mineração</v>
      </c>
      <c r="S9" s="18">
        <f>VLOOKUP(Q9,ChatGpt!A:C,3,0)</f>
        <v>70</v>
      </c>
      <c r="T9" s="18" t="str">
        <f t="shared" si="5"/>
        <v>Entre 50 e 100</v>
      </c>
      <c r="U9" s="18">
        <f t="shared" si="6"/>
        <v>0.0206</v>
      </c>
      <c r="V9" s="19">
        <f t="shared" si="7"/>
        <v>68.09719773</v>
      </c>
      <c r="W9" s="17">
        <f t="shared" si="8"/>
        <v>5887454971</v>
      </c>
      <c r="X9" s="17" t="str">
        <f t="shared" si="9"/>
        <v>Subiu</v>
      </c>
      <c r="Y9" s="20">
        <f t="shared" si="10"/>
        <v>-0.0997</v>
      </c>
      <c r="Z9" s="17">
        <f t="shared" si="11"/>
        <v>77.19649006</v>
      </c>
      <c r="AA9" s="17">
        <f t="shared" si="12"/>
        <v>-32301586276</v>
      </c>
      <c r="AB9" s="17" t="str">
        <f t="shared" si="13"/>
        <v>Desceu</v>
      </c>
      <c r="AC9" s="20">
        <f t="shared" si="14"/>
        <v>-0.0997</v>
      </c>
      <c r="AD9" s="21">
        <f t="shared" si="15"/>
        <v>77.19649006</v>
      </c>
      <c r="AE9" s="21">
        <f t="shared" si="16"/>
        <v>-32301586276</v>
      </c>
      <c r="AF9" s="21" t="str">
        <f t="shared" si="17"/>
        <v>Desceu</v>
      </c>
      <c r="AG9" s="20">
        <f t="shared" si="18"/>
        <v>-0.2349</v>
      </c>
      <c r="AH9" s="21">
        <f t="shared" si="19"/>
        <v>90.83779898</v>
      </c>
      <c r="AI9" s="21">
        <f t="shared" si="20"/>
        <v>-89553127391</v>
      </c>
      <c r="AJ9" s="21" t="str">
        <f t="shared" si="21"/>
        <v>Desceu</v>
      </c>
    </row>
    <row r="10">
      <c r="A10" s="10" t="s">
        <v>52</v>
      </c>
      <c r="B10" s="11">
        <v>45317.0</v>
      </c>
      <c r="C10" s="12">
        <v>28.19</v>
      </c>
      <c r="D10" s="13">
        <v>1.58</v>
      </c>
      <c r="E10" s="13">
        <v>2.03</v>
      </c>
      <c r="F10" s="13">
        <v>-0.81</v>
      </c>
      <c r="G10" s="13">
        <v>-0.81</v>
      </c>
      <c r="H10" s="13">
        <v>24.02</v>
      </c>
      <c r="I10" s="13">
        <v>28.36</v>
      </c>
      <c r="J10" s="13">
        <v>27.71</v>
      </c>
      <c r="K10" s="10" t="s">
        <v>53</v>
      </c>
      <c r="L10" s="14">
        <f t="shared" si="1"/>
        <v>0.0158</v>
      </c>
      <c r="M10" s="15">
        <f t="shared" si="2"/>
        <v>27.75152589</v>
      </c>
      <c r="N10" s="16">
        <f>VLOOKUP(A10,'Total de Ações'!A:B,2,0)</f>
        <v>268505432</v>
      </c>
      <c r="O10" s="17">
        <f t="shared" si="3"/>
        <v>117732680.1</v>
      </c>
      <c r="P10" s="18" t="str">
        <f t="shared" si="4"/>
        <v>Subiu</v>
      </c>
      <c r="Q10" s="18" t="str">
        <f>VLOOKUP(A10,Ticker!A:B,2,0)</f>
        <v>Multiplan</v>
      </c>
      <c r="R10" s="18" t="str">
        <f>VLOOKUP(Q10,ChatGpt!A:C,2,0)</f>
        <v>Shopping Centers</v>
      </c>
      <c r="S10" s="18">
        <f>VLOOKUP(Q10,ChatGpt!A:C,3,0)</f>
        <v>50</v>
      </c>
      <c r="T10" s="18" t="str">
        <f t="shared" si="5"/>
        <v>Entre 50 e 100</v>
      </c>
      <c r="U10" s="18">
        <f t="shared" si="6"/>
        <v>0.0203</v>
      </c>
      <c r="V10" s="19">
        <f t="shared" si="7"/>
        <v>27.62912869</v>
      </c>
      <c r="W10" s="17">
        <f t="shared" si="8"/>
        <v>150596994</v>
      </c>
      <c r="X10" s="17" t="str">
        <f t="shared" si="9"/>
        <v>Subiu</v>
      </c>
      <c r="Y10" s="20">
        <f t="shared" si="10"/>
        <v>-0.0081</v>
      </c>
      <c r="Z10" s="17">
        <f t="shared" si="11"/>
        <v>28.42020365</v>
      </c>
      <c r="AA10" s="17">
        <f t="shared" si="12"/>
        <v>-61810930.37</v>
      </c>
      <c r="AB10" s="17" t="str">
        <f t="shared" si="13"/>
        <v>Desceu</v>
      </c>
      <c r="AC10" s="20">
        <f t="shared" si="14"/>
        <v>-0.0081</v>
      </c>
      <c r="AD10" s="21">
        <f t="shared" si="15"/>
        <v>28.42020365</v>
      </c>
      <c r="AE10" s="21">
        <f t="shared" si="16"/>
        <v>-61810930.37</v>
      </c>
      <c r="AF10" s="21" t="str">
        <f t="shared" si="17"/>
        <v>Desceu</v>
      </c>
      <c r="AG10" s="20">
        <f t="shared" si="18"/>
        <v>0.2402</v>
      </c>
      <c r="AH10" s="21">
        <f t="shared" si="19"/>
        <v>22.73020481</v>
      </c>
      <c r="AI10" s="21">
        <f t="shared" si="20"/>
        <v>1465984667</v>
      </c>
      <c r="AJ10" s="21" t="str">
        <f t="shared" si="21"/>
        <v>Subiu</v>
      </c>
    </row>
    <row r="11">
      <c r="A11" s="10" t="s">
        <v>54</v>
      </c>
      <c r="B11" s="11">
        <v>45317.0</v>
      </c>
      <c r="C11" s="12">
        <v>32.81</v>
      </c>
      <c r="D11" s="13">
        <v>1.48</v>
      </c>
      <c r="E11" s="13">
        <v>-0.39</v>
      </c>
      <c r="F11" s="13">
        <v>-3.36</v>
      </c>
      <c r="G11" s="13">
        <v>-3.36</v>
      </c>
      <c r="H11" s="13">
        <v>34.25</v>
      </c>
      <c r="I11" s="13">
        <v>32.91</v>
      </c>
      <c r="J11" s="13">
        <v>32.35</v>
      </c>
      <c r="K11" s="10" t="s">
        <v>55</v>
      </c>
      <c r="L11" s="14">
        <f t="shared" si="1"/>
        <v>0.0148</v>
      </c>
      <c r="M11" s="15">
        <f t="shared" si="2"/>
        <v>32.33149389</v>
      </c>
      <c r="N11" s="16">
        <f>VLOOKUP(A11,'Total de Ações'!A:B,2,0)</f>
        <v>4801593832</v>
      </c>
      <c r="O11" s="17">
        <f t="shared" si="3"/>
        <v>2297591984</v>
      </c>
      <c r="P11" s="18" t="str">
        <f t="shared" si="4"/>
        <v>Subiu</v>
      </c>
      <c r="Q11" s="18" t="str">
        <f>VLOOKUP(A11,Ticker!A:B,2,0)</f>
        <v>Itaú Unibanco</v>
      </c>
      <c r="R11" s="18" t="str">
        <f>VLOOKUP(Q11,ChatGpt!A:C,2,0)</f>
        <v>Bancos</v>
      </c>
      <c r="S11" s="18">
        <f>VLOOKUP(Q11,ChatGpt!A:C,3,0)</f>
        <v>10</v>
      </c>
      <c r="T11" s="18" t="str">
        <f t="shared" si="5"/>
        <v>Menos de 50</v>
      </c>
      <c r="U11" s="18">
        <f t="shared" si="6"/>
        <v>-0.0039</v>
      </c>
      <c r="V11" s="19">
        <f t="shared" si="7"/>
        <v>32.93845999</v>
      </c>
      <c r="W11" s="17">
        <f t="shared" si="8"/>
        <v>-616812714.7</v>
      </c>
      <c r="X11" s="17" t="str">
        <f t="shared" si="9"/>
        <v>Desceu</v>
      </c>
      <c r="Y11" s="20">
        <f t="shared" si="10"/>
        <v>-0.0336</v>
      </c>
      <c r="Z11" s="17">
        <f t="shared" si="11"/>
        <v>33.95074503</v>
      </c>
      <c r="AA11" s="17">
        <f t="shared" si="12"/>
        <v>-5477394315</v>
      </c>
      <c r="AB11" s="17" t="str">
        <f t="shared" si="13"/>
        <v>Desceu</v>
      </c>
      <c r="AC11" s="20">
        <f t="shared" si="14"/>
        <v>-0.0336</v>
      </c>
      <c r="AD11" s="21">
        <f t="shared" si="15"/>
        <v>33.95074503</v>
      </c>
      <c r="AE11" s="21">
        <f t="shared" si="16"/>
        <v>-5477394315</v>
      </c>
      <c r="AF11" s="21" t="str">
        <f t="shared" si="17"/>
        <v>Desceu</v>
      </c>
      <c r="AG11" s="20">
        <f t="shared" si="18"/>
        <v>0.3425</v>
      </c>
      <c r="AH11" s="21">
        <f t="shared" si="19"/>
        <v>24.43947858</v>
      </c>
      <c r="AI11" s="21">
        <f t="shared" si="20"/>
        <v>40191843998</v>
      </c>
      <c r="AJ11" s="21" t="str">
        <f t="shared" si="21"/>
        <v>Subiu</v>
      </c>
    </row>
    <row r="12">
      <c r="A12" s="10" t="s">
        <v>56</v>
      </c>
      <c r="B12" s="11">
        <v>45317.0</v>
      </c>
      <c r="C12" s="12">
        <v>27.56</v>
      </c>
      <c r="D12" s="13">
        <v>1.43</v>
      </c>
      <c r="E12" s="13">
        <v>3.41</v>
      </c>
      <c r="F12" s="13">
        <v>-4.17</v>
      </c>
      <c r="G12" s="13">
        <v>-4.17</v>
      </c>
      <c r="H12" s="13">
        <v>-6.01</v>
      </c>
      <c r="I12" s="13">
        <v>27.91</v>
      </c>
      <c r="J12" s="13">
        <v>26.9</v>
      </c>
      <c r="K12" s="10" t="s">
        <v>57</v>
      </c>
      <c r="L12" s="14">
        <f t="shared" si="1"/>
        <v>0.0143</v>
      </c>
      <c r="M12" s="15">
        <f t="shared" si="2"/>
        <v>27.17144829</v>
      </c>
      <c r="N12" s="16">
        <f>VLOOKUP(A12,'Total de Ações'!A:B,2,0)</f>
        <v>1168230366</v>
      </c>
      <c r="O12" s="17">
        <f t="shared" si="3"/>
        <v>453917907</v>
      </c>
      <c r="P12" s="18" t="str">
        <f t="shared" si="4"/>
        <v>Subiu</v>
      </c>
      <c r="Q12" s="18" t="str">
        <f>VLOOKUP(A12,Ticker!A:B,2,0)</f>
        <v>Rede D'Or</v>
      </c>
      <c r="R12" s="18" t="str">
        <f>VLOOKUP(Q12,ChatGpt!A:C,2,0)</f>
        <v>Saúde</v>
      </c>
      <c r="S12" s="18">
        <f>VLOOKUP(Q12,ChatGpt!A:C,3,0)</f>
        <v>40</v>
      </c>
      <c r="T12" s="18" t="str">
        <f t="shared" si="5"/>
        <v>Menos de 50</v>
      </c>
      <c r="U12" s="18">
        <f t="shared" si="6"/>
        <v>0.0341</v>
      </c>
      <c r="V12" s="19">
        <f t="shared" si="7"/>
        <v>26.65119428</v>
      </c>
      <c r="W12" s="17">
        <f t="shared" si="8"/>
        <v>1061694444</v>
      </c>
      <c r="X12" s="17" t="str">
        <f t="shared" si="9"/>
        <v>Subiu</v>
      </c>
      <c r="Y12" s="20">
        <f t="shared" si="10"/>
        <v>-0.0417</v>
      </c>
      <c r="Z12" s="17">
        <f t="shared" si="11"/>
        <v>28.75926119</v>
      </c>
      <c r="AA12" s="17">
        <f t="shared" si="12"/>
        <v>-1401013341</v>
      </c>
      <c r="AB12" s="17" t="str">
        <f t="shared" si="13"/>
        <v>Desceu</v>
      </c>
      <c r="AC12" s="20">
        <f t="shared" si="14"/>
        <v>-0.0417</v>
      </c>
      <c r="AD12" s="21">
        <f t="shared" si="15"/>
        <v>28.75926119</v>
      </c>
      <c r="AE12" s="21">
        <f t="shared" si="16"/>
        <v>-1401013341</v>
      </c>
      <c r="AF12" s="21" t="str">
        <f t="shared" si="17"/>
        <v>Desceu</v>
      </c>
      <c r="AG12" s="20">
        <f t="shared" si="18"/>
        <v>-0.0601</v>
      </c>
      <c r="AH12" s="21">
        <f t="shared" si="19"/>
        <v>29.32226833</v>
      </c>
      <c r="AI12" s="21">
        <f t="shared" si="20"/>
        <v>-2058735372</v>
      </c>
      <c r="AJ12" s="21" t="str">
        <f t="shared" si="21"/>
        <v>Desceu</v>
      </c>
    </row>
    <row r="13">
      <c r="A13" s="10" t="s">
        <v>58</v>
      </c>
      <c r="B13" s="11">
        <v>45317.0</v>
      </c>
      <c r="C13" s="12">
        <v>18.55</v>
      </c>
      <c r="D13" s="13">
        <v>1.42</v>
      </c>
      <c r="E13" s="13">
        <v>5.1</v>
      </c>
      <c r="F13" s="13">
        <v>-15.14</v>
      </c>
      <c r="G13" s="13">
        <v>-15.14</v>
      </c>
      <c r="H13" s="13">
        <v>-18.39</v>
      </c>
      <c r="I13" s="13">
        <v>18.73</v>
      </c>
      <c r="J13" s="13">
        <v>18.29</v>
      </c>
      <c r="K13" s="10" t="s">
        <v>59</v>
      </c>
      <c r="L13" s="14">
        <f t="shared" si="1"/>
        <v>0.0142</v>
      </c>
      <c r="M13" s="15">
        <f t="shared" si="2"/>
        <v>18.29027805</v>
      </c>
      <c r="N13" s="16">
        <f>VLOOKUP(A13,'Total de Ações'!A:B,2,0)</f>
        <v>265877867</v>
      </c>
      <c r="O13" s="17">
        <f t="shared" si="3"/>
        <v>69054317.64</v>
      </c>
      <c r="P13" s="18" t="str">
        <f t="shared" si="4"/>
        <v>Subiu</v>
      </c>
      <c r="Q13" s="18" t="str">
        <f>VLOOKUP(A13,Ticker!A:B,2,0)</f>
        <v>Braskem</v>
      </c>
      <c r="R13" s="18" t="str">
        <f>VLOOKUP(Q13,ChatGpt!A:C,2,0)</f>
        <v>Petroquímica</v>
      </c>
      <c r="S13" s="18">
        <f>VLOOKUP(Q13,ChatGpt!A:C,3,0)</f>
        <v>10</v>
      </c>
      <c r="T13" s="18" t="str">
        <f t="shared" si="5"/>
        <v>Menos de 50</v>
      </c>
      <c r="U13" s="18">
        <f t="shared" si="6"/>
        <v>0.051</v>
      </c>
      <c r="V13" s="19">
        <f t="shared" si="7"/>
        <v>17.64985728</v>
      </c>
      <c r="W13" s="17">
        <f t="shared" si="8"/>
        <v>239328026.7</v>
      </c>
      <c r="X13" s="17" t="str">
        <f t="shared" si="9"/>
        <v>Subiu</v>
      </c>
      <c r="Y13" s="20">
        <f t="shared" si="10"/>
        <v>-0.1514</v>
      </c>
      <c r="Z13" s="17">
        <f t="shared" si="11"/>
        <v>21.85953335</v>
      </c>
      <c r="AA13" s="17">
        <f t="shared" si="12"/>
        <v>-879931667.6</v>
      </c>
      <c r="AB13" s="17" t="str">
        <f t="shared" si="13"/>
        <v>Desceu</v>
      </c>
      <c r="AC13" s="20">
        <f t="shared" si="14"/>
        <v>-0.1514</v>
      </c>
      <c r="AD13" s="21">
        <f t="shared" si="15"/>
        <v>21.85953335</v>
      </c>
      <c r="AE13" s="21">
        <f t="shared" si="16"/>
        <v>-879931667.6</v>
      </c>
      <c r="AF13" s="21" t="str">
        <f t="shared" si="17"/>
        <v>Desceu</v>
      </c>
      <c r="AG13" s="20">
        <f t="shared" si="18"/>
        <v>-0.1839</v>
      </c>
      <c r="AH13" s="21">
        <f t="shared" si="19"/>
        <v>22.73005759</v>
      </c>
      <c r="AI13" s="21">
        <f t="shared" si="20"/>
        <v>-1111384796</v>
      </c>
      <c r="AJ13" s="21" t="str">
        <f t="shared" si="21"/>
        <v>Desceu</v>
      </c>
    </row>
    <row r="14">
      <c r="A14" s="10" t="s">
        <v>60</v>
      </c>
      <c r="B14" s="11">
        <v>45317.0</v>
      </c>
      <c r="C14" s="12">
        <v>14.27</v>
      </c>
      <c r="D14" s="13">
        <v>1.42</v>
      </c>
      <c r="E14" s="13">
        <v>8.85</v>
      </c>
      <c r="F14" s="13">
        <v>-10.87</v>
      </c>
      <c r="G14" s="13">
        <v>-10.87</v>
      </c>
      <c r="H14" s="13">
        <v>18.52</v>
      </c>
      <c r="I14" s="13">
        <v>14.36</v>
      </c>
      <c r="J14" s="13">
        <v>13.8</v>
      </c>
      <c r="K14" s="10" t="s">
        <v>61</v>
      </c>
      <c r="L14" s="14">
        <f t="shared" si="1"/>
        <v>0.0142</v>
      </c>
      <c r="M14" s="15">
        <f t="shared" si="2"/>
        <v>14.07020312</v>
      </c>
      <c r="N14" s="16">
        <f>VLOOKUP(A14,'Total de Ações'!A:B,2,0)</f>
        <v>327593725</v>
      </c>
      <c r="O14" s="17">
        <f t="shared" si="3"/>
        <v>65452205.55</v>
      </c>
      <c r="P14" s="18" t="str">
        <f t="shared" si="4"/>
        <v>Subiu</v>
      </c>
      <c r="Q14" s="18" t="str">
        <f>VLOOKUP(A14,Ticker!A:B,2,0)</f>
        <v>Azul</v>
      </c>
      <c r="R14" s="18" t="str">
        <f>VLOOKUP(Q14,ChatGpt!A:C,2,0)</f>
        <v>Transporte Aéreo</v>
      </c>
      <c r="S14" s="18">
        <f>VLOOKUP(Q14,ChatGpt!A:C,3,0)</f>
        <v>10</v>
      </c>
      <c r="T14" s="18" t="str">
        <f t="shared" si="5"/>
        <v>Menos de 50</v>
      </c>
      <c r="U14" s="18">
        <f t="shared" si="6"/>
        <v>0.0885</v>
      </c>
      <c r="V14" s="19">
        <f t="shared" si="7"/>
        <v>13.10978411</v>
      </c>
      <c r="W14" s="17">
        <f t="shared" si="8"/>
        <v>380079446.3</v>
      </c>
      <c r="X14" s="17" t="str">
        <f t="shared" si="9"/>
        <v>Subiu</v>
      </c>
      <c r="Y14" s="20">
        <f t="shared" si="10"/>
        <v>-0.1087</v>
      </c>
      <c r="Z14" s="17">
        <f t="shared" si="11"/>
        <v>16.010322</v>
      </c>
      <c r="AA14" s="17">
        <f t="shared" si="12"/>
        <v>-570118567.2</v>
      </c>
      <c r="AB14" s="17" t="str">
        <f t="shared" si="13"/>
        <v>Desceu</v>
      </c>
      <c r="AC14" s="20">
        <f t="shared" si="14"/>
        <v>-0.1087</v>
      </c>
      <c r="AD14" s="21">
        <f t="shared" si="15"/>
        <v>16.010322</v>
      </c>
      <c r="AE14" s="21">
        <f t="shared" si="16"/>
        <v>-570118567.2</v>
      </c>
      <c r="AF14" s="21" t="str">
        <f t="shared" si="17"/>
        <v>Desceu</v>
      </c>
      <c r="AG14" s="20">
        <f t="shared" si="18"/>
        <v>0.1852</v>
      </c>
      <c r="AH14" s="21">
        <f t="shared" si="19"/>
        <v>12.040162</v>
      </c>
      <c r="AI14" s="21">
        <f t="shared" si="20"/>
        <v>730480937.2</v>
      </c>
      <c r="AJ14" s="21" t="str">
        <f t="shared" si="21"/>
        <v>Subiu</v>
      </c>
    </row>
    <row r="15">
      <c r="A15" s="10" t="s">
        <v>62</v>
      </c>
      <c r="B15" s="11">
        <v>45317.0</v>
      </c>
      <c r="C15" s="12">
        <v>28.75</v>
      </c>
      <c r="D15" s="13">
        <v>1.41</v>
      </c>
      <c r="E15" s="13">
        <v>-2.71</v>
      </c>
      <c r="F15" s="13">
        <v>9.4</v>
      </c>
      <c r="G15" s="13">
        <v>9.4</v>
      </c>
      <c r="H15" s="13">
        <v>-37.7</v>
      </c>
      <c r="I15" s="13">
        <v>28.75</v>
      </c>
      <c r="J15" s="13">
        <v>28.0</v>
      </c>
      <c r="K15" s="10" t="s">
        <v>63</v>
      </c>
      <c r="L15" s="14">
        <f t="shared" si="1"/>
        <v>0.0141</v>
      </c>
      <c r="M15" s="15">
        <f t="shared" si="2"/>
        <v>28.35026132</v>
      </c>
      <c r="N15" s="16">
        <f>VLOOKUP(A15,'Total de Ações'!A:B,2,0)</f>
        <v>235665566</v>
      </c>
      <c r="O15" s="17">
        <f t="shared" si="3"/>
        <v>94204643.35</v>
      </c>
      <c r="P15" s="18" t="str">
        <f t="shared" si="4"/>
        <v>Subiu</v>
      </c>
      <c r="Q15" s="18" t="str">
        <f>VLOOKUP(A15,Ticker!A:B,2,0)</f>
        <v>3R Petroleum</v>
      </c>
      <c r="R15" s="18" t="str">
        <f>VLOOKUP(Q15,ChatGpt!A:C,2,0)</f>
        <v>Petróleo e Gás</v>
      </c>
      <c r="S15" s="22">
        <v>9.0</v>
      </c>
      <c r="T15" s="18" t="str">
        <f t="shared" si="5"/>
        <v>Menos de 50</v>
      </c>
      <c r="U15" s="18">
        <f t="shared" si="6"/>
        <v>-0.0271</v>
      </c>
      <c r="V15" s="19">
        <f t="shared" si="7"/>
        <v>29.55082742</v>
      </c>
      <c r="W15" s="17">
        <f t="shared" si="8"/>
        <v>-188727447.9</v>
      </c>
      <c r="X15" s="17" t="str">
        <f t="shared" si="9"/>
        <v>Desceu</v>
      </c>
      <c r="Y15" s="20">
        <f t="shared" si="10"/>
        <v>0.094</v>
      </c>
      <c r="Z15" s="17">
        <f t="shared" si="11"/>
        <v>26.2797075</v>
      </c>
      <c r="AA15" s="17">
        <f t="shared" si="12"/>
        <v>582162881.3</v>
      </c>
      <c r="AB15" s="17" t="str">
        <f t="shared" si="13"/>
        <v>Subiu</v>
      </c>
      <c r="AC15" s="20">
        <f t="shared" si="14"/>
        <v>0.094</v>
      </c>
      <c r="AD15" s="21">
        <f t="shared" si="15"/>
        <v>26.2797075</v>
      </c>
      <c r="AE15" s="21">
        <f t="shared" si="16"/>
        <v>582162881.3</v>
      </c>
      <c r="AF15" s="21" t="str">
        <f t="shared" si="17"/>
        <v>Subiu</v>
      </c>
      <c r="AG15" s="20">
        <f t="shared" si="18"/>
        <v>-0.377</v>
      </c>
      <c r="AH15" s="21">
        <f t="shared" si="19"/>
        <v>46.14767255</v>
      </c>
      <c r="AI15" s="21">
        <f t="shared" si="20"/>
        <v>-4100032349</v>
      </c>
      <c r="AJ15" s="21" t="str">
        <f t="shared" si="21"/>
        <v>Desceu</v>
      </c>
    </row>
    <row r="16">
      <c r="A16" s="10" t="s">
        <v>64</v>
      </c>
      <c r="B16" s="11">
        <v>45317.0</v>
      </c>
      <c r="C16" s="12">
        <v>35.32</v>
      </c>
      <c r="D16" s="13">
        <v>1.34</v>
      </c>
      <c r="E16" s="13">
        <v>2.76</v>
      </c>
      <c r="F16" s="13">
        <v>-1.12</v>
      </c>
      <c r="G16" s="13">
        <v>-1.12</v>
      </c>
      <c r="H16" s="13">
        <v>28.01</v>
      </c>
      <c r="I16" s="13">
        <v>35.76</v>
      </c>
      <c r="J16" s="13">
        <v>34.85</v>
      </c>
      <c r="K16" s="10" t="s">
        <v>65</v>
      </c>
      <c r="L16" s="14">
        <f t="shared" si="1"/>
        <v>0.0134</v>
      </c>
      <c r="M16" s="15">
        <f t="shared" si="2"/>
        <v>34.8529702</v>
      </c>
      <c r="N16" s="16">
        <f>VLOOKUP(A16,'Total de Ações'!A:B,2,0)</f>
        <v>1095587251</v>
      </c>
      <c r="O16" s="17">
        <f t="shared" si="3"/>
        <v>511671895.5</v>
      </c>
      <c r="P16" s="18" t="str">
        <f t="shared" si="4"/>
        <v>Subiu</v>
      </c>
      <c r="Q16" s="18" t="str">
        <f>VLOOKUP(A16,Ticker!A:B,2,0)</f>
        <v>Equatorial Energia</v>
      </c>
      <c r="R16" s="18" t="str">
        <f>VLOOKUP(Q16,ChatGpt!A:C,2,0)</f>
        <v>Energia</v>
      </c>
      <c r="S16" s="18">
        <f>VLOOKUP(Q16,ChatGpt!A:C,3,0)</f>
        <v>20</v>
      </c>
      <c r="T16" s="18" t="str">
        <f t="shared" si="5"/>
        <v>Menos de 50</v>
      </c>
      <c r="U16" s="18">
        <f t="shared" si="6"/>
        <v>0.0276</v>
      </c>
      <c r="V16" s="19">
        <f t="shared" si="7"/>
        <v>34.37135072</v>
      </c>
      <c r="W16" s="17">
        <f t="shared" si="8"/>
        <v>1039328057</v>
      </c>
      <c r="X16" s="17" t="str">
        <f t="shared" si="9"/>
        <v>Subiu</v>
      </c>
      <c r="Y16" s="20">
        <f t="shared" si="10"/>
        <v>-0.0112</v>
      </c>
      <c r="Z16" s="17">
        <f t="shared" si="11"/>
        <v>35.72006472</v>
      </c>
      <c r="AA16" s="17">
        <f t="shared" si="12"/>
        <v>-438305812.2</v>
      </c>
      <c r="AB16" s="17" t="str">
        <f t="shared" si="13"/>
        <v>Desceu</v>
      </c>
      <c r="AC16" s="20">
        <f t="shared" si="14"/>
        <v>-0.0112</v>
      </c>
      <c r="AD16" s="21">
        <f t="shared" si="15"/>
        <v>35.72006472</v>
      </c>
      <c r="AE16" s="21">
        <f t="shared" si="16"/>
        <v>-438305812.2</v>
      </c>
      <c r="AF16" s="21" t="str">
        <f t="shared" si="17"/>
        <v>Desceu</v>
      </c>
      <c r="AG16" s="20">
        <f t="shared" si="18"/>
        <v>0.2801</v>
      </c>
      <c r="AH16" s="21">
        <f t="shared" si="19"/>
        <v>27.59159441</v>
      </c>
      <c r="AI16" s="21">
        <f t="shared" si="20"/>
        <v>8467142639</v>
      </c>
      <c r="AJ16" s="21" t="str">
        <f t="shared" si="21"/>
        <v>Subiu</v>
      </c>
    </row>
    <row r="17">
      <c r="A17" s="10" t="s">
        <v>66</v>
      </c>
      <c r="B17" s="11">
        <v>45317.0</v>
      </c>
      <c r="C17" s="12">
        <v>18.16</v>
      </c>
      <c r="D17" s="13">
        <v>1.33</v>
      </c>
      <c r="E17" s="13">
        <v>4.79</v>
      </c>
      <c r="F17" s="13">
        <v>-7.63</v>
      </c>
      <c r="G17" s="13">
        <v>-7.63</v>
      </c>
      <c r="H17" s="13">
        <v>12.45</v>
      </c>
      <c r="I17" s="13">
        <v>18.49</v>
      </c>
      <c r="J17" s="13">
        <v>18.0</v>
      </c>
      <c r="K17" s="10" t="s">
        <v>67</v>
      </c>
      <c r="L17" s="14">
        <f t="shared" si="1"/>
        <v>0.0133</v>
      </c>
      <c r="M17" s="15">
        <f t="shared" si="2"/>
        <v>17.92164216</v>
      </c>
      <c r="N17" s="16">
        <f>VLOOKUP(A17,'Total de Ações'!A:B,2,0)</f>
        <v>600865451</v>
      </c>
      <c r="O17" s="17">
        <f t="shared" si="3"/>
        <v>143220991.5</v>
      </c>
      <c r="P17" s="18" t="str">
        <f t="shared" si="4"/>
        <v>Subiu</v>
      </c>
      <c r="Q17" s="18" t="str">
        <f>VLOOKUP(A17,Ticker!A:B,2,0)</f>
        <v>Siderúrgica Nacional</v>
      </c>
      <c r="R17" s="18" t="str">
        <f>VLOOKUP(Q17,ChatGpt!A:C,2,0)</f>
        <v>Siderurgia</v>
      </c>
      <c r="S17" s="18">
        <f>VLOOKUP(Q17,ChatGpt!A:C,3,0)</f>
        <v>70</v>
      </c>
      <c r="T17" s="18" t="str">
        <f t="shared" si="5"/>
        <v>Entre 50 e 100</v>
      </c>
      <c r="U17" s="18">
        <f t="shared" si="6"/>
        <v>0.0479</v>
      </c>
      <c r="V17" s="19">
        <f t="shared" si="7"/>
        <v>17.32989789</v>
      </c>
      <c r="W17" s="17">
        <f t="shared" si="8"/>
        <v>498779678.1</v>
      </c>
      <c r="X17" s="17" t="str">
        <f t="shared" si="9"/>
        <v>Subiu</v>
      </c>
      <c r="Y17" s="20">
        <f t="shared" si="10"/>
        <v>-0.0763</v>
      </c>
      <c r="Z17" s="17">
        <f t="shared" si="11"/>
        <v>19.66006279</v>
      </c>
      <c r="AA17" s="17">
        <f t="shared" si="12"/>
        <v>-901335905.4</v>
      </c>
      <c r="AB17" s="17" t="str">
        <f t="shared" si="13"/>
        <v>Desceu</v>
      </c>
      <c r="AC17" s="20">
        <f t="shared" si="14"/>
        <v>-0.0763</v>
      </c>
      <c r="AD17" s="21">
        <f t="shared" si="15"/>
        <v>19.66006279</v>
      </c>
      <c r="AE17" s="21">
        <f t="shared" si="16"/>
        <v>-901335905.4</v>
      </c>
      <c r="AF17" s="21" t="str">
        <f t="shared" si="17"/>
        <v>Desceu</v>
      </c>
      <c r="AG17" s="20">
        <f t="shared" si="18"/>
        <v>0.1245</v>
      </c>
      <c r="AH17" s="21">
        <f t="shared" si="19"/>
        <v>16.14939973</v>
      </c>
      <c r="AI17" s="21">
        <f t="shared" si="20"/>
        <v>1208100236</v>
      </c>
      <c r="AJ17" s="21" t="str">
        <f t="shared" si="21"/>
        <v>Subiu</v>
      </c>
    </row>
    <row r="18">
      <c r="A18" s="10" t="s">
        <v>68</v>
      </c>
      <c r="B18" s="11">
        <v>45317.0</v>
      </c>
      <c r="C18" s="12">
        <v>19.77</v>
      </c>
      <c r="D18" s="13">
        <v>1.28</v>
      </c>
      <c r="E18" s="13">
        <v>-5.9</v>
      </c>
      <c r="F18" s="13">
        <v>-11.82</v>
      </c>
      <c r="G18" s="13">
        <v>-11.82</v>
      </c>
      <c r="H18" s="13">
        <v>108.45</v>
      </c>
      <c r="I18" s="13">
        <v>19.78</v>
      </c>
      <c r="J18" s="13">
        <v>18.99</v>
      </c>
      <c r="K18" s="10" t="s">
        <v>69</v>
      </c>
      <c r="L18" s="14">
        <f t="shared" si="1"/>
        <v>0.0128</v>
      </c>
      <c r="M18" s="15">
        <f t="shared" si="2"/>
        <v>19.52014218</v>
      </c>
      <c r="N18" s="16">
        <f>VLOOKUP(A18,'Total de Ações'!A:B,2,0)</f>
        <v>289347914</v>
      </c>
      <c r="O18" s="17">
        <f t="shared" si="3"/>
        <v>72295838.99</v>
      </c>
      <c r="P18" s="18" t="str">
        <f t="shared" si="4"/>
        <v>Subiu</v>
      </c>
      <c r="Q18" s="18" t="str">
        <f>VLOOKUP(A18,Ticker!A:B,2,0)</f>
        <v>YDUQS</v>
      </c>
      <c r="R18" s="18" t="str">
        <f>VLOOKUP(Q18,ChatGpt!A:C,2,0)</f>
        <v>Educação</v>
      </c>
      <c r="S18" s="18">
        <f>VLOOKUP(Q18,ChatGpt!A:C,3,0)</f>
        <v>50</v>
      </c>
      <c r="T18" s="18" t="str">
        <f t="shared" si="5"/>
        <v>Entre 50 e 100</v>
      </c>
      <c r="U18" s="18">
        <f t="shared" si="6"/>
        <v>-0.059</v>
      </c>
      <c r="V18" s="19">
        <f t="shared" si="7"/>
        <v>21.00956429</v>
      </c>
      <c r="W18" s="17">
        <f t="shared" si="8"/>
        <v>-358665342.5</v>
      </c>
      <c r="X18" s="17" t="str">
        <f t="shared" si="9"/>
        <v>Desceu</v>
      </c>
      <c r="Y18" s="20">
        <f t="shared" si="10"/>
        <v>-0.1182</v>
      </c>
      <c r="Z18" s="17">
        <f t="shared" si="11"/>
        <v>22.4200499</v>
      </c>
      <c r="AA18" s="17">
        <f t="shared" si="12"/>
        <v>-766786410</v>
      </c>
      <c r="AB18" s="17" t="str">
        <f t="shared" si="13"/>
        <v>Desceu</v>
      </c>
      <c r="AC18" s="20">
        <f t="shared" si="14"/>
        <v>-0.1182</v>
      </c>
      <c r="AD18" s="21">
        <f t="shared" si="15"/>
        <v>22.4200499</v>
      </c>
      <c r="AE18" s="21">
        <f t="shared" si="16"/>
        <v>-766786410</v>
      </c>
      <c r="AF18" s="21" t="str">
        <f t="shared" si="17"/>
        <v>Desceu</v>
      </c>
      <c r="AG18" s="20">
        <f t="shared" si="18"/>
        <v>1.0845</v>
      </c>
      <c r="AH18" s="21">
        <f t="shared" si="19"/>
        <v>9.484288798</v>
      </c>
      <c r="AI18" s="21">
        <f t="shared" si="20"/>
        <v>2976149080</v>
      </c>
      <c r="AJ18" s="21" t="str">
        <f t="shared" si="21"/>
        <v>Subiu</v>
      </c>
    </row>
    <row r="19">
      <c r="A19" s="10" t="s">
        <v>70</v>
      </c>
      <c r="B19" s="11">
        <v>45317.0</v>
      </c>
      <c r="C19" s="12">
        <v>28.31</v>
      </c>
      <c r="D19" s="13">
        <v>1.28</v>
      </c>
      <c r="E19" s="13">
        <v>2.35</v>
      </c>
      <c r="F19" s="13">
        <v>6.79</v>
      </c>
      <c r="G19" s="13">
        <v>6.79</v>
      </c>
      <c r="H19" s="13">
        <v>119.82</v>
      </c>
      <c r="I19" s="13">
        <v>28.39</v>
      </c>
      <c r="J19" s="13">
        <v>27.84</v>
      </c>
      <c r="K19" s="10" t="s">
        <v>71</v>
      </c>
      <c r="L19" s="14">
        <f t="shared" si="1"/>
        <v>0.0128</v>
      </c>
      <c r="M19" s="15">
        <f t="shared" si="2"/>
        <v>27.95221169</v>
      </c>
      <c r="N19" s="16">
        <f>VLOOKUP(A19,'Total de Ações'!A:B,2,0)</f>
        <v>1086411192</v>
      </c>
      <c r="O19" s="17">
        <f t="shared" si="3"/>
        <v>388705224</v>
      </c>
      <c r="P19" s="18" t="str">
        <f t="shared" si="4"/>
        <v>Subiu</v>
      </c>
      <c r="Q19" s="18" t="str">
        <f>VLOOKUP(A19,Ticker!A:B,2,0)</f>
        <v>Ultrapar</v>
      </c>
      <c r="R19" s="18" t="str">
        <f>VLOOKUP(Q19,ChatGpt!A:C,2,0)</f>
        <v>Distribuição</v>
      </c>
      <c r="S19" s="18">
        <f>VLOOKUP(Q19,ChatGpt!A:C,3,0)</f>
        <v>80</v>
      </c>
      <c r="T19" s="18" t="str">
        <f t="shared" si="5"/>
        <v>Entre 50 e 100</v>
      </c>
      <c r="U19" s="18">
        <f t="shared" si="6"/>
        <v>0.0235</v>
      </c>
      <c r="V19" s="19">
        <f t="shared" si="7"/>
        <v>27.65999023</v>
      </c>
      <c r="W19" s="17">
        <f t="shared" si="8"/>
        <v>706177889.5</v>
      </c>
      <c r="X19" s="17" t="str">
        <f t="shared" si="9"/>
        <v>Subiu</v>
      </c>
      <c r="Y19" s="20">
        <f t="shared" si="10"/>
        <v>0.0679</v>
      </c>
      <c r="Z19" s="17">
        <f t="shared" si="11"/>
        <v>26.50997284</v>
      </c>
      <c r="AA19" s="17">
        <f t="shared" si="12"/>
        <v>1955569648</v>
      </c>
      <c r="AB19" s="17" t="str">
        <f t="shared" si="13"/>
        <v>Subiu</v>
      </c>
      <c r="AC19" s="20">
        <f t="shared" si="14"/>
        <v>0.0679</v>
      </c>
      <c r="AD19" s="21">
        <f t="shared" si="15"/>
        <v>26.50997284</v>
      </c>
      <c r="AE19" s="21">
        <f t="shared" si="16"/>
        <v>1955569648</v>
      </c>
      <c r="AF19" s="21" t="str">
        <f t="shared" si="17"/>
        <v>Subiu</v>
      </c>
      <c r="AG19" s="20">
        <f t="shared" si="18"/>
        <v>1.1982</v>
      </c>
      <c r="AH19" s="21">
        <f t="shared" si="19"/>
        <v>12.87871895</v>
      </c>
      <c r="AI19" s="21">
        <f t="shared" si="20"/>
        <v>16764716438</v>
      </c>
      <c r="AJ19" s="21" t="str">
        <f t="shared" si="21"/>
        <v>Subiu</v>
      </c>
    </row>
    <row r="20">
      <c r="A20" s="10" t="s">
        <v>72</v>
      </c>
      <c r="B20" s="11">
        <v>45317.0</v>
      </c>
      <c r="C20" s="12">
        <v>8.08</v>
      </c>
      <c r="D20" s="13">
        <v>1.25</v>
      </c>
      <c r="E20" s="13">
        <v>1.38</v>
      </c>
      <c r="F20" s="13">
        <v>-28.05</v>
      </c>
      <c r="G20" s="13">
        <v>-28.05</v>
      </c>
      <c r="H20" s="13">
        <v>14.12</v>
      </c>
      <c r="I20" s="13">
        <v>8.23</v>
      </c>
      <c r="J20" s="13">
        <v>7.93</v>
      </c>
      <c r="K20" s="10" t="s">
        <v>73</v>
      </c>
      <c r="L20" s="14">
        <f t="shared" si="1"/>
        <v>0.0125</v>
      </c>
      <c r="M20" s="15">
        <f t="shared" si="2"/>
        <v>7.980246914</v>
      </c>
      <c r="N20" s="16">
        <f>VLOOKUP(A20,'Total de Ações'!A:B,2,0)</f>
        <v>376187582</v>
      </c>
      <c r="O20" s="17">
        <f t="shared" si="3"/>
        <v>37525872.38</v>
      </c>
      <c r="P20" s="18" t="str">
        <f t="shared" si="4"/>
        <v>Subiu</v>
      </c>
      <c r="Q20" s="18" t="str">
        <f>VLOOKUP(A20,Ticker!A:B,2,0)</f>
        <v>MRV</v>
      </c>
      <c r="R20" s="18" t="str">
        <f>VLOOKUP(Q20,ChatGpt!A:C,2,0)</f>
        <v>Construção Civil</v>
      </c>
      <c r="S20" s="18">
        <f>VLOOKUP(Q20,ChatGpt!A:C,3,0)</f>
        <v>40</v>
      </c>
      <c r="T20" s="18" t="str">
        <f t="shared" si="5"/>
        <v>Menos de 50</v>
      </c>
      <c r="U20" s="18">
        <f t="shared" si="6"/>
        <v>0.0138</v>
      </c>
      <c r="V20" s="19">
        <f t="shared" si="7"/>
        <v>7.970013809</v>
      </c>
      <c r="W20" s="17">
        <f t="shared" si="8"/>
        <v>41375439.08</v>
      </c>
      <c r="X20" s="17" t="str">
        <f t="shared" si="9"/>
        <v>Subiu</v>
      </c>
      <c r="Y20" s="20">
        <f t="shared" si="10"/>
        <v>-0.2805</v>
      </c>
      <c r="Z20" s="17">
        <f t="shared" si="11"/>
        <v>11.23002085</v>
      </c>
      <c r="AA20" s="17">
        <f t="shared" si="12"/>
        <v>-1184998726</v>
      </c>
      <c r="AB20" s="17" t="str">
        <f t="shared" si="13"/>
        <v>Desceu</v>
      </c>
      <c r="AC20" s="20">
        <f t="shared" si="14"/>
        <v>-0.2805</v>
      </c>
      <c r="AD20" s="21">
        <f t="shared" si="15"/>
        <v>11.23002085</v>
      </c>
      <c r="AE20" s="21">
        <f t="shared" si="16"/>
        <v>-1184998726</v>
      </c>
      <c r="AF20" s="21" t="str">
        <f t="shared" si="17"/>
        <v>Desceu</v>
      </c>
      <c r="AG20" s="20">
        <f t="shared" si="18"/>
        <v>0.1412</v>
      </c>
      <c r="AH20" s="21">
        <f t="shared" si="19"/>
        <v>7.080266386</v>
      </c>
      <c r="AI20" s="21">
        <f t="shared" si="20"/>
        <v>376087370.8</v>
      </c>
      <c r="AJ20" s="21" t="str">
        <f t="shared" si="21"/>
        <v>Subiu</v>
      </c>
    </row>
    <row r="21">
      <c r="A21" s="10" t="s">
        <v>74</v>
      </c>
      <c r="B21" s="11">
        <v>45317.0</v>
      </c>
      <c r="C21" s="12">
        <v>57.91</v>
      </c>
      <c r="D21" s="13">
        <v>1.15</v>
      </c>
      <c r="E21" s="13">
        <v>-1.03</v>
      </c>
      <c r="F21" s="13">
        <v>-10.26</v>
      </c>
      <c r="G21" s="13">
        <v>-10.26</v>
      </c>
      <c r="H21" s="13">
        <v>-28.97</v>
      </c>
      <c r="I21" s="13">
        <v>59.29</v>
      </c>
      <c r="J21" s="13">
        <v>56.22</v>
      </c>
      <c r="K21" s="10" t="s">
        <v>75</v>
      </c>
      <c r="L21" s="14">
        <f t="shared" si="1"/>
        <v>0.0115</v>
      </c>
      <c r="M21" s="15">
        <f t="shared" si="2"/>
        <v>57.25160652</v>
      </c>
      <c r="N21" s="16">
        <f>VLOOKUP(A21,'Total de Ações'!A:B,2,0)</f>
        <v>62305891</v>
      </c>
      <c r="O21" s="17">
        <f t="shared" si="3"/>
        <v>41021792.09</v>
      </c>
      <c r="P21" s="18" t="str">
        <f t="shared" si="4"/>
        <v>Subiu</v>
      </c>
      <c r="Q21" s="18" t="str">
        <f>VLOOKUP(A21,Ticker!A:B,2,0)</f>
        <v>Arezzo</v>
      </c>
      <c r="R21" s="18" t="str">
        <f>VLOOKUP(Q21,ChatGpt!A:C,2,0)</f>
        <v>Moda</v>
      </c>
      <c r="S21" s="18">
        <f>VLOOKUP(Q21,ChatGpt!A:C,3,0)</f>
        <v>40</v>
      </c>
      <c r="T21" s="18" t="str">
        <f t="shared" si="5"/>
        <v>Menos de 50</v>
      </c>
      <c r="U21" s="18">
        <f t="shared" si="6"/>
        <v>-0.0103</v>
      </c>
      <c r="V21" s="19">
        <f t="shared" si="7"/>
        <v>58.51268061</v>
      </c>
      <c r="W21" s="17">
        <f t="shared" si="8"/>
        <v>-37550552.41</v>
      </c>
      <c r="X21" s="17" t="str">
        <f t="shared" si="9"/>
        <v>Desceu</v>
      </c>
      <c r="Y21" s="20">
        <f t="shared" si="10"/>
        <v>-0.1026</v>
      </c>
      <c r="Z21" s="17">
        <f t="shared" si="11"/>
        <v>64.53086695</v>
      </c>
      <c r="AA21" s="17">
        <f t="shared" si="12"/>
        <v>-412519014.4</v>
      </c>
      <c r="AB21" s="17" t="str">
        <f t="shared" si="13"/>
        <v>Desceu</v>
      </c>
      <c r="AC21" s="20">
        <f t="shared" si="14"/>
        <v>-0.1026</v>
      </c>
      <c r="AD21" s="21">
        <f t="shared" si="15"/>
        <v>64.53086695</v>
      </c>
      <c r="AE21" s="21">
        <f t="shared" si="16"/>
        <v>-412519014.4</v>
      </c>
      <c r="AF21" s="21" t="str">
        <f t="shared" si="17"/>
        <v>Desceu</v>
      </c>
      <c r="AG21" s="20">
        <f t="shared" si="18"/>
        <v>-0.2897</v>
      </c>
      <c r="AH21" s="21">
        <f t="shared" si="19"/>
        <v>81.52893144</v>
      </c>
      <c r="AI21" s="21">
        <f t="shared" si="20"/>
        <v>-1471598568</v>
      </c>
      <c r="AJ21" s="21" t="str">
        <f t="shared" si="21"/>
        <v>Desceu</v>
      </c>
    </row>
    <row r="22">
      <c r="A22" s="10" t="s">
        <v>76</v>
      </c>
      <c r="B22" s="11">
        <v>45317.0</v>
      </c>
      <c r="C22" s="12">
        <v>15.52</v>
      </c>
      <c r="D22" s="13">
        <v>1.04</v>
      </c>
      <c r="E22" s="13">
        <v>-0.77</v>
      </c>
      <c r="F22" s="13">
        <v>-9.08</v>
      </c>
      <c r="G22" s="13">
        <v>-9.08</v>
      </c>
      <c r="H22" s="13">
        <v>16.11</v>
      </c>
      <c r="I22" s="13">
        <v>15.62</v>
      </c>
      <c r="J22" s="13">
        <v>15.35</v>
      </c>
      <c r="K22" s="10" t="s">
        <v>77</v>
      </c>
      <c r="L22" s="14">
        <f t="shared" si="1"/>
        <v>0.0104</v>
      </c>
      <c r="M22" s="15">
        <f t="shared" si="2"/>
        <v>15.36025337</v>
      </c>
      <c r="N22" s="16">
        <f>VLOOKUP(A22,'Total de Ações'!A:B,2,0)</f>
        <v>5146576868</v>
      </c>
      <c r="O22" s="17">
        <f t="shared" si="3"/>
        <v>822148336.4</v>
      </c>
      <c r="P22" s="18" t="str">
        <f t="shared" si="4"/>
        <v>Subiu</v>
      </c>
      <c r="Q22" s="18" t="str">
        <f>VLOOKUP(A22,Ticker!A:B,2,0)</f>
        <v>Banco Bradesco</v>
      </c>
      <c r="R22" s="18" t="str">
        <f>VLOOKUP(Q22,ChatGpt!A:C,2,0)</f>
        <v>Bancos</v>
      </c>
      <c r="S22" s="18">
        <f>VLOOKUP(Q22,ChatGpt!A:C,3,0)</f>
        <v>70</v>
      </c>
      <c r="T22" s="18" t="str">
        <f t="shared" si="5"/>
        <v>Entre 50 e 100</v>
      </c>
      <c r="U22" s="18">
        <f t="shared" si="6"/>
        <v>-0.0077</v>
      </c>
      <c r="V22" s="19">
        <f t="shared" si="7"/>
        <v>15.64043132</v>
      </c>
      <c r="W22" s="17">
        <f t="shared" si="8"/>
        <v>-619809051.7</v>
      </c>
      <c r="X22" s="17" t="str">
        <f t="shared" si="9"/>
        <v>Desceu</v>
      </c>
      <c r="Y22" s="20">
        <f t="shared" si="10"/>
        <v>-0.0908</v>
      </c>
      <c r="Z22" s="17">
        <f t="shared" si="11"/>
        <v>17.06995161</v>
      </c>
      <c r="AA22" s="17">
        <f t="shared" si="12"/>
        <v>-7976945081</v>
      </c>
      <c r="AB22" s="17" t="str">
        <f t="shared" si="13"/>
        <v>Desceu</v>
      </c>
      <c r="AC22" s="20">
        <f t="shared" si="14"/>
        <v>-0.0908</v>
      </c>
      <c r="AD22" s="21">
        <f t="shared" si="15"/>
        <v>17.06995161</v>
      </c>
      <c r="AE22" s="21">
        <f t="shared" si="16"/>
        <v>-7976945081</v>
      </c>
      <c r="AF22" s="21" t="str">
        <f t="shared" si="17"/>
        <v>Desceu</v>
      </c>
      <c r="AG22" s="20">
        <f t="shared" si="18"/>
        <v>0.1611</v>
      </c>
      <c r="AH22" s="21">
        <f t="shared" si="19"/>
        <v>13.36663509</v>
      </c>
      <c r="AI22" s="21">
        <f t="shared" si="20"/>
        <v>11082458047</v>
      </c>
      <c r="AJ22" s="21" t="str">
        <f t="shared" si="21"/>
        <v>Subiu</v>
      </c>
    </row>
    <row r="23">
      <c r="A23" s="10" t="s">
        <v>78</v>
      </c>
      <c r="B23" s="11">
        <v>45317.0</v>
      </c>
      <c r="C23" s="12">
        <v>7.19</v>
      </c>
      <c r="D23" s="13">
        <v>0.98</v>
      </c>
      <c r="E23" s="13">
        <v>6.05</v>
      </c>
      <c r="F23" s="13">
        <v>-3.75</v>
      </c>
      <c r="G23" s="13">
        <v>-3.75</v>
      </c>
      <c r="H23" s="13">
        <v>-48.31</v>
      </c>
      <c r="I23" s="13">
        <v>7.24</v>
      </c>
      <c r="J23" s="13">
        <v>7.11</v>
      </c>
      <c r="K23" s="10" t="s">
        <v>79</v>
      </c>
      <c r="L23" s="14">
        <f t="shared" si="1"/>
        <v>0.0098</v>
      </c>
      <c r="M23" s="15">
        <f t="shared" si="2"/>
        <v>7.120221826</v>
      </c>
      <c r="N23" s="16">
        <f>VLOOKUP(A23,'Total de Ações'!A:B,2,0)</f>
        <v>261036182</v>
      </c>
      <c r="O23" s="17">
        <f t="shared" si="3"/>
        <v>18214628.1</v>
      </c>
      <c r="P23" s="18" t="str">
        <f t="shared" si="4"/>
        <v>Subiu</v>
      </c>
      <c r="Q23" s="18" t="str">
        <f>VLOOKUP(A23,Ticker!A:B,2,0)</f>
        <v>Minerva</v>
      </c>
      <c r="R23" s="18" t="str">
        <f>VLOOKUP(Q23,ChatGpt!A:C,2,0)</f>
        <v>Alimentos</v>
      </c>
      <c r="S23" s="18">
        <f>VLOOKUP(Q23,ChatGpt!A:C,3,0)</f>
        <v>90</v>
      </c>
      <c r="T23" s="18" t="str">
        <f t="shared" si="5"/>
        <v>Entre 50 e 100</v>
      </c>
      <c r="U23" s="18">
        <f t="shared" si="6"/>
        <v>0.0605</v>
      </c>
      <c r="V23" s="19">
        <f t="shared" si="7"/>
        <v>6.779820839</v>
      </c>
      <c r="W23" s="17">
        <f t="shared" si="8"/>
        <v>107071602.1</v>
      </c>
      <c r="X23" s="17" t="str">
        <f t="shared" si="9"/>
        <v>Subiu</v>
      </c>
      <c r="Y23" s="20">
        <f t="shared" si="10"/>
        <v>-0.0375</v>
      </c>
      <c r="Z23" s="17">
        <f t="shared" si="11"/>
        <v>7.47012987</v>
      </c>
      <c r="AA23" s="17">
        <f t="shared" si="12"/>
        <v>-73124031.76</v>
      </c>
      <c r="AB23" s="17" t="str">
        <f t="shared" si="13"/>
        <v>Desceu</v>
      </c>
      <c r="AC23" s="20">
        <f t="shared" si="14"/>
        <v>-0.0375</v>
      </c>
      <c r="AD23" s="21">
        <f t="shared" si="15"/>
        <v>7.47012987</v>
      </c>
      <c r="AE23" s="21">
        <f t="shared" si="16"/>
        <v>-73124031.76</v>
      </c>
      <c r="AF23" s="21" t="str">
        <f t="shared" si="17"/>
        <v>Desceu</v>
      </c>
      <c r="AG23" s="20">
        <f t="shared" si="18"/>
        <v>-0.4831</v>
      </c>
      <c r="AH23" s="21">
        <f t="shared" si="19"/>
        <v>13.90984717</v>
      </c>
      <c r="AI23" s="21">
        <f t="shared" si="20"/>
        <v>-1754123248</v>
      </c>
      <c r="AJ23" s="21" t="str">
        <f t="shared" si="21"/>
        <v>Desceu</v>
      </c>
    </row>
    <row r="24">
      <c r="A24" s="10" t="s">
        <v>80</v>
      </c>
      <c r="B24" s="11">
        <v>45317.0</v>
      </c>
      <c r="C24" s="12">
        <v>4.14</v>
      </c>
      <c r="D24" s="13">
        <v>0.97</v>
      </c>
      <c r="E24" s="13">
        <v>-6.33</v>
      </c>
      <c r="F24" s="13">
        <v>1.97</v>
      </c>
      <c r="G24" s="13">
        <v>1.97</v>
      </c>
      <c r="H24" s="13">
        <v>-51.18</v>
      </c>
      <c r="I24" s="13">
        <v>4.2</v>
      </c>
      <c r="J24" s="13">
        <v>4.08</v>
      </c>
      <c r="K24" s="10" t="s">
        <v>81</v>
      </c>
      <c r="L24" s="14">
        <f t="shared" si="1"/>
        <v>0.0097</v>
      </c>
      <c r="M24" s="15">
        <f t="shared" si="2"/>
        <v>4.10022779</v>
      </c>
      <c r="N24" s="16">
        <f>VLOOKUP(A24,'Total de Ações'!A:B,2,0)</f>
        <v>159430826</v>
      </c>
      <c r="O24" s="17">
        <f t="shared" si="3"/>
        <v>6340916.223</v>
      </c>
      <c r="P24" s="18" t="str">
        <f t="shared" si="4"/>
        <v>Subiu</v>
      </c>
      <c r="Q24" s="18" t="str">
        <f>VLOOKUP(A24,Ticker!A:B,2,0)</f>
        <v>Grupo Pão de Açúcar</v>
      </c>
      <c r="R24" s="18" t="str">
        <f>VLOOKUP(Q24,ChatGpt!A:C,2,0)</f>
        <v>Alimentos</v>
      </c>
      <c r="S24" s="18">
        <f>VLOOKUP(Q24,ChatGpt!A:C,3,0)</f>
        <v>70</v>
      </c>
      <c r="T24" s="18" t="str">
        <f t="shared" si="5"/>
        <v>Entre 50 e 100</v>
      </c>
      <c r="U24" s="18">
        <f t="shared" si="6"/>
        <v>-0.0633</v>
      </c>
      <c r="V24" s="19">
        <f t="shared" si="7"/>
        <v>4.419771538</v>
      </c>
      <c r="W24" s="17">
        <f t="shared" si="8"/>
        <v>-44604207.46</v>
      </c>
      <c r="X24" s="17" t="str">
        <f t="shared" si="9"/>
        <v>Desceu</v>
      </c>
      <c r="Y24" s="20">
        <f t="shared" si="10"/>
        <v>0.0197</v>
      </c>
      <c r="Z24" s="17">
        <f t="shared" si="11"/>
        <v>4.060017652</v>
      </c>
      <c r="AA24" s="17">
        <f t="shared" si="12"/>
        <v>12751651.77</v>
      </c>
      <c r="AB24" s="17" t="str">
        <f t="shared" si="13"/>
        <v>Subiu</v>
      </c>
      <c r="AC24" s="20">
        <f t="shared" si="14"/>
        <v>0.0197</v>
      </c>
      <c r="AD24" s="21">
        <f t="shared" si="15"/>
        <v>4.060017652</v>
      </c>
      <c r="AE24" s="21">
        <f t="shared" si="16"/>
        <v>12751651.77</v>
      </c>
      <c r="AF24" s="21" t="str">
        <f t="shared" si="17"/>
        <v>Subiu</v>
      </c>
      <c r="AG24" s="20">
        <f t="shared" si="18"/>
        <v>-0.5118</v>
      </c>
      <c r="AH24" s="21">
        <f t="shared" si="19"/>
        <v>8.480131094</v>
      </c>
      <c r="AI24" s="21">
        <f t="shared" si="20"/>
        <v>-691950685.2</v>
      </c>
      <c r="AJ24" s="21" t="str">
        <f t="shared" si="21"/>
        <v>Desceu</v>
      </c>
    </row>
    <row r="25">
      <c r="A25" s="10" t="s">
        <v>82</v>
      </c>
      <c r="B25" s="11">
        <v>45317.0</v>
      </c>
      <c r="C25" s="12">
        <v>14.61</v>
      </c>
      <c r="D25" s="13">
        <v>0.96</v>
      </c>
      <c r="E25" s="13">
        <v>12.38</v>
      </c>
      <c r="F25" s="13">
        <v>5.79</v>
      </c>
      <c r="G25" s="13">
        <v>5.79</v>
      </c>
      <c r="H25" s="13">
        <v>78.17</v>
      </c>
      <c r="I25" s="13">
        <v>14.93</v>
      </c>
      <c r="J25" s="13">
        <v>14.46</v>
      </c>
      <c r="K25" s="10" t="s">
        <v>83</v>
      </c>
      <c r="L25" s="14">
        <f t="shared" si="1"/>
        <v>0.0096</v>
      </c>
      <c r="M25" s="15">
        <f t="shared" si="2"/>
        <v>14.47107765</v>
      </c>
      <c r="N25" s="16">
        <f>VLOOKUP(A25,'Total de Ações'!A:B,2,0)</f>
        <v>1677525446</v>
      </c>
      <c r="O25" s="17">
        <f t="shared" si="3"/>
        <v>233045769.6</v>
      </c>
      <c r="P25" s="18" t="str">
        <f t="shared" si="4"/>
        <v>Subiu</v>
      </c>
      <c r="Q25" s="18" t="str">
        <f>VLOOKUP(A25,Ticker!A:B,2,0)</f>
        <v>BRF</v>
      </c>
      <c r="R25" s="18" t="str">
        <f>VLOOKUP(Q25,ChatGpt!A:C,2,0)</f>
        <v>Alimentos</v>
      </c>
      <c r="S25" s="18">
        <f>VLOOKUP(Q25,ChatGpt!A:C,3,0)</f>
        <v>80</v>
      </c>
      <c r="T25" s="18" t="str">
        <f t="shared" si="5"/>
        <v>Entre 50 e 100</v>
      </c>
      <c r="U25" s="18">
        <f t="shared" si="6"/>
        <v>0.1238</v>
      </c>
      <c r="V25" s="19">
        <f t="shared" si="7"/>
        <v>13.0005339</v>
      </c>
      <c r="W25" s="17">
        <f t="shared" si="8"/>
        <v>2699920332</v>
      </c>
      <c r="X25" s="17" t="str">
        <f t="shared" si="9"/>
        <v>Subiu</v>
      </c>
      <c r="Y25" s="20">
        <f t="shared" si="10"/>
        <v>0.0579</v>
      </c>
      <c r="Z25" s="17">
        <f t="shared" si="11"/>
        <v>13.81037905</v>
      </c>
      <c r="AA25" s="17">
        <f t="shared" si="12"/>
        <v>1341384486</v>
      </c>
      <c r="AB25" s="17" t="str">
        <f t="shared" si="13"/>
        <v>Subiu</v>
      </c>
      <c r="AC25" s="20">
        <f t="shared" si="14"/>
        <v>0.0579</v>
      </c>
      <c r="AD25" s="21">
        <f t="shared" si="15"/>
        <v>13.81037905</v>
      </c>
      <c r="AE25" s="21">
        <f t="shared" si="16"/>
        <v>1341384486</v>
      </c>
      <c r="AF25" s="21" t="str">
        <f t="shared" si="17"/>
        <v>Subiu</v>
      </c>
      <c r="AG25" s="20">
        <f t="shared" si="18"/>
        <v>0.7817</v>
      </c>
      <c r="AH25" s="21">
        <f t="shared" si="19"/>
        <v>8.200033676</v>
      </c>
      <c r="AI25" s="21">
        <f t="shared" si="20"/>
        <v>10752881617</v>
      </c>
      <c r="AJ25" s="21" t="str">
        <f t="shared" si="21"/>
        <v>Subiu</v>
      </c>
    </row>
    <row r="26">
      <c r="A26" s="10" t="s">
        <v>84</v>
      </c>
      <c r="B26" s="11">
        <v>45317.0</v>
      </c>
      <c r="C26" s="12">
        <v>51.2</v>
      </c>
      <c r="D26" s="13">
        <v>0.88</v>
      </c>
      <c r="E26" s="13">
        <v>1.09</v>
      </c>
      <c r="F26" s="13">
        <v>-4.19</v>
      </c>
      <c r="G26" s="13">
        <v>-4.19</v>
      </c>
      <c r="H26" s="13">
        <v>32.78</v>
      </c>
      <c r="I26" s="13">
        <v>51.26</v>
      </c>
      <c r="J26" s="13">
        <v>50.62</v>
      </c>
      <c r="K26" s="10" t="s">
        <v>85</v>
      </c>
      <c r="L26" s="14">
        <f t="shared" si="1"/>
        <v>0.0088</v>
      </c>
      <c r="M26" s="15">
        <f t="shared" si="2"/>
        <v>50.75337034</v>
      </c>
      <c r="N26" s="16">
        <f>VLOOKUP(A26,'Total de Ações'!A:B,2,0)</f>
        <v>423091712</v>
      </c>
      <c r="O26" s="17">
        <f t="shared" si="3"/>
        <v>188965307.1</v>
      </c>
      <c r="P26" s="18" t="str">
        <f t="shared" si="4"/>
        <v>Subiu</v>
      </c>
      <c r="Q26" s="18" t="str">
        <f>VLOOKUP(A26,Ticker!A:B,2,0)</f>
        <v>Vivo</v>
      </c>
      <c r="R26" s="18" t="str">
        <f>VLOOKUP(Q26,ChatGpt!A:C,2,0)</f>
        <v>Telecomunicações</v>
      </c>
      <c r="S26" s="18">
        <f>VLOOKUP(Q26,ChatGpt!A:C,3,0)</f>
        <v>20</v>
      </c>
      <c r="T26" s="18" t="str">
        <f t="shared" si="5"/>
        <v>Menos de 50</v>
      </c>
      <c r="U26" s="18">
        <f t="shared" si="6"/>
        <v>0.0109</v>
      </c>
      <c r="V26" s="19">
        <f t="shared" si="7"/>
        <v>50.64793748</v>
      </c>
      <c r="W26" s="17">
        <f t="shared" si="8"/>
        <v>233573076.1</v>
      </c>
      <c r="X26" s="17" t="str">
        <f t="shared" si="9"/>
        <v>Subiu</v>
      </c>
      <c r="Y26" s="20">
        <f t="shared" si="10"/>
        <v>-0.0419</v>
      </c>
      <c r="Z26" s="17">
        <f t="shared" si="11"/>
        <v>53.43909822</v>
      </c>
      <c r="AA26" s="17">
        <f t="shared" si="12"/>
        <v>-947343897.2</v>
      </c>
      <c r="AB26" s="17" t="str">
        <f t="shared" si="13"/>
        <v>Desceu</v>
      </c>
      <c r="AC26" s="20">
        <f t="shared" si="14"/>
        <v>-0.0419</v>
      </c>
      <c r="AD26" s="21">
        <f t="shared" si="15"/>
        <v>53.43909822</v>
      </c>
      <c r="AE26" s="21">
        <f t="shared" si="16"/>
        <v>-947343897.2</v>
      </c>
      <c r="AF26" s="21" t="str">
        <f t="shared" si="17"/>
        <v>Desceu</v>
      </c>
      <c r="AG26" s="20">
        <f t="shared" si="18"/>
        <v>0.3278</v>
      </c>
      <c r="AH26" s="21">
        <f t="shared" si="19"/>
        <v>38.5600241</v>
      </c>
      <c r="AI26" s="21">
        <f t="shared" si="20"/>
        <v>5347869043</v>
      </c>
      <c r="AJ26" s="21" t="str">
        <f t="shared" si="21"/>
        <v>Subiu</v>
      </c>
    </row>
    <row r="27">
      <c r="A27" s="10" t="s">
        <v>86</v>
      </c>
      <c r="B27" s="11">
        <v>45317.0</v>
      </c>
      <c r="C27" s="12">
        <v>22.64</v>
      </c>
      <c r="D27" s="13">
        <v>0.84</v>
      </c>
      <c r="E27" s="13">
        <v>1.07</v>
      </c>
      <c r="F27" s="13">
        <v>-1.35</v>
      </c>
      <c r="G27" s="13">
        <v>-1.35</v>
      </c>
      <c r="H27" s="13">
        <v>20.93</v>
      </c>
      <c r="I27" s="13">
        <v>22.83</v>
      </c>
      <c r="J27" s="13">
        <v>22.32</v>
      </c>
      <c r="K27" s="10" t="s">
        <v>87</v>
      </c>
      <c r="L27" s="14">
        <f t="shared" si="1"/>
        <v>0.0084</v>
      </c>
      <c r="M27" s="15">
        <f t="shared" si="2"/>
        <v>22.45140817</v>
      </c>
      <c r="N27" s="16">
        <f>VLOOKUP(A27,'Total de Ações'!A:B,2,0)</f>
        <v>1218352541</v>
      </c>
      <c r="O27" s="17">
        <f t="shared" si="3"/>
        <v>229771333.6</v>
      </c>
      <c r="P27" s="18" t="str">
        <f t="shared" si="4"/>
        <v>Subiu</v>
      </c>
      <c r="Q27" s="18" t="str">
        <f>VLOOKUP(A27,Ticker!A:B,2,0)</f>
        <v>Rumo</v>
      </c>
      <c r="R27" s="18" t="str">
        <f>VLOOKUP(Q27,ChatGpt!A:C,2,0)</f>
        <v>Logística</v>
      </c>
      <c r="S27" s="18">
        <f>VLOOKUP(Q27,ChatGpt!A:C,3,0)</f>
        <v>10</v>
      </c>
      <c r="T27" s="18" t="str">
        <f t="shared" si="5"/>
        <v>Menos de 50</v>
      </c>
      <c r="U27" s="18">
        <f t="shared" si="6"/>
        <v>0.0107</v>
      </c>
      <c r="V27" s="19">
        <f t="shared" si="7"/>
        <v>22.40031661</v>
      </c>
      <c r="W27" s="17">
        <f t="shared" si="8"/>
        <v>292018864.5</v>
      </c>
      <c r="X27" s="17" t="str">
        <f t="shared" si="9"/>
        <v>Subiu</v>
      </c>
      <c r="Y27" s="20">
        <f t="shared" si="10"/>
        <v>-0.0135</v>
      </c>
      <c r="Z27" s="17">
        <f t="shared" si="11"/>
        <v>22.94982261</v>
      </c>
      <c r="AA27" s="17">
        <f t="shared" si="12"/>
        <v>-377473158.3</v>
      </c>
      <c r="AB27" s="17" t="str">
        <f t="shared" si="13"/>
        <v>Desceu</v>
      </c>
      <c r="AC27" s="20">
        <f t="shared" si="14"/>
        <v>-0.0135</v>
      </c>
      <c r="AD27" s="21">
        <f t="shared" si="15"/>
        <v>22.94982261</v>
      </c>
      <c r="AE27" s="21">
        <f t="shared" si="16"/>
        <v>-377473158.3</v>
      </c>
      <c r="AF27" s="21" t="str">
        <f t="shared" si="17"/>
        <v>Desceu</v>
      </c>
      <c r="AG27" s="20">
        <f t="shared" si="18"/>
        <v>0.2093</v>
      </c>
      <c r="AH27" s="21">
        <f t="shared" si="19"/>
        <v>18.72157446</v>
      </c>
      <c r="AI27" s="21">
        <f t="shared" si="20"/>
        <v>4774023708</v>
      </c>
      <c r="AJ27" s="21" t="str">
        <f t="shared" si="21"/>
        <v>Subiu</v>
      </c>
    </row>
    <row r="28">
      <c r="A28" s="10" t="s">
        <v>88</v>
      </c>
      <c r="B28" s="11">
        <v>45317.0</v>
      </c>
      <c r="C28" s="12">
        <v>4.9</v>
      </c>
      <c r="D28" s="13">
        <v>0.82</v>
      </c>
      <c r="E28" s="13">
        <v>9.38</v>
      </c>
      <c r="F28" s="13">
        <v>5.83</v>
      </c>
      <c r="G28" s="13">
        <v>5.83</v>
      </c>
      <c r="H28" s="13">
        <v>-2.19</v>
      </c>
      <c r="I28" s="13">
        <v>4.97</v>
      </c>
      <c r="J28" s="13">
        <v>4.82</v>
      </c>
      <c r="K28" s="10" t="s">
        <v>89</v>
      </c>
      <c r="L28" s="14">
        <f t="shared" si="1"/>
        <v>0.0082</v>
      </c>
      <c r="M28" s="15">
        <f t="shared" si="2"/>
        <v>4.860146796</v>
      </c>
      <c r="N28" s="16">
        <f>VLOOKUP(A28,'Total de Ações'!A:B,2,0)</f>
        <v>1095462329</v>
      </c>
      <c r="O28" s="17">
        <f t="shared" si="3"/>
        <v>43657683.38</v>
      </c>
      <c r="P28" s="18" t="str">
        <f t="shared" si="4"/>
        <v>Subiu</v>
      </c>
      <c r="Q28" s="18" t="str">
        <f>VLOOKUP(A28,Ticker!A:B,2,0)</f>
        <v>Cielo</v>
      </c>
      <c r="R28" s="18" t="str">
        <f>VLOOKUP(Q28,ChatGpt!A:C,2,0)</f>
        <v>Serviços Financeiros</v>
      </c>
      <c r="S28" s="18">
        <f>VLOOKUP(Q28,ChatGpt!A:C,3,0)</f>
        <v>10</v>
      </c>
      <c r="T28" s="18" t="str">
        <f t="shared" si="5"/>
        <v>Menos de 50</v>
      </c>
      <c r="U28" s="18">
        <f t="shared" si="6"/>
        <v>0.0938</v>
      </c>
      <c r="V28" s="19">
        <f t="shared" si="7"/>
        <v>4.479795209</v>
      </c>
      <c r="W28" s="17">
        <f t="shared" si="8"/>
        <v>460318518.6</v>
      </c>
      <c r="X28" s="17" t="str">
        <f t="shared" si="9"/>
        <v>Subiu</v>
      </c>
      <c r="Y28" s="20">
        <f t="shared" si="10"/>
        <v>0.0583</v>
      </c>
      <c r="Z28" s="17">
        <f t="shared" si="11"/>
        <v>4.630067089</v>
      </c>
      <c r="AA28" s="17">
        <f t="shared" si="12"/>
        <v>295701335.7</v>
      </c>
      <c r="AB28" s="17" t="str">
        <f t="shared" si="13"/>
        <v>Subiu</v>
      </c>
      <c r="AC28" s="20">
        <f t="shared" si="14"/>
        <v>0.0583</v>
      </c>
      <c r="AD28" s="21">
        <f t="shared" si="15"/>
        <v>4.630067089</v>
      </c>
      <c r="AE28" s="21">
        <f t="shared" si="16"/>
        <v>295701335.7</v>
      </c>
      <c r="AF28" s="21" t="str">
        <f t="shared" si="17"/>
        <v>Subiu</v>
      </c>
      <c r="AG28" s="20">
        <f t="shared" si="18"/>
        <v>-0.0219</v>
      </c>
      <c r="AH28" s="21">
        <f t="shared" si="19"/>
        <v>5.009712708</v>
      </c>
      <c r="AI28" s="21">
        <f t="shared" si="20"/>
        <v>-120186139</v>
      </c>
      <c r="AJ28" s="21" t="str">
        <f t="shared" si="21"/>
        <v>Desceu</v>
      </c>
    </row>
    <row r="29">
      <c r="A29" s="10" t="s">
        <v>90</v>
      </c>
      <c r="B29" s="11">
        <v>45317.0</v>
      </c>
      <c r="C29" s="12">
        <v>7.81</v>
      </c>
      <c r="D29" s="13">
        <v>0.77</v>
      </c>
      <c r="E29" s="13">
        <v>3.17</v>
      </c>
      <c r="F29" s="13">
        <v>-3.22</v>
      </c>
      <c r="G29" s="13">
        <v>-3.22</v>
      </c>
      <c r="H29" s="13">
        <v>9.94</v>
      </c>
      <c r="I29" s="13">
        <v>7.85</v>
      </c>
      <c r="J29" s="13">
        <v>7.7</v>
      </c>
      <c r="K29" s="10" t="s">
        <v>91</v>
      </c>
      <c r="L29" s="14">
        <f t="shared" si="1"/>
        <v>0.0077</v>
      </c>
      <c r="M29" s="15">
        <f t="shared" si="2"/>
        <v>7.750322517</v>
      </c>
      <c r="N29" s="16">
        <f>VLOOKUP(A29,'Total de Ações'!A:B,2,0)</f>
        <v>302768240</v>
      </c>
      <c r="O29" s="17">
        <f t="shared" si="3"/>
        <v>18068446.61</v>
      </c>
      <c r="P29" s="18" t="str">
        <f t="shared" si="4"/>
        <v>Subiu</v>
      </c>
      <c r="Q29" s="18" t="str">
        <f>VLOOKUP(A29,Ticker!A:B,2,0)</f>
        <v>Dexco</v>
      </c>
      <c r="R29" s="18" t="str">
        <f>VLOOKUP(Q29,ChatGpt!A:C,2,0)</f>
        <v>Energia</v>
      </c>
      <c r="S29" s="18">
        <f>VLOOKUP(Q29,ChatGpt!A:C,3,0)</f>
        <v>10</v>
      </c>
      <c r="T29" s="18" t="str">
        <f t="shared" si="5"/>
        <v>Menos de 50</v>
      </c>
      <c r="U29" s="18">
        <f t="shared" si="6"/>
        <v>0.0317</v>
      </c>
      <c r="V29" s="19">
        <f t="shared" si="7"/>
        <v>7.570030047</v>
      </c>
      <c r="W29" s="17">
        <f t="shared" si="8"/>
        <v>72655280.17</v>
      </c>
      <c r="X29" s="17" t="str">
        <f t="shared" si="9"/>
        <v>Subiu</v>
      </c>
      <c r="Y29" s="20">
        <f t="shared" si="10"/>
        <v>-0.0322</v>
      </c>
      <c r="Z29" s="17">
        <f t="shared" si="11"/>
        <v>8.069849142</v>
      </c>
      <c r="AA29" s="17">
        <f t="shared" si="12"/>
        <v>-78674067.51</v>
      </c>
      <c r="AB29" s="17" t="str">
        <f t="shared" si="13"/>
        <v>Desceu</v>
      </c>
      <c r="AC29" s="20">
        <f t="shared" si="14"/>
        <v>-0.0322</v>
      </c>
      <c r="AD29" s="21">
        <f t="shared" si="15"/>
        <v>8.069849142</v>
      </c>
      <c r="AE29" s="21">
        <f t="shared" si="16"/>
        <v>-78674067.51</v>
      </c>
      <c r="AF29" s="21" t="str">
        <f t="shared" si="17"/>
        <v>Desceu</v>
      </c>
      <c r="AG29" s="20">
        <f t="shared" si="18"/>
        <v>0.0994</v>
      </c>
      <c r="AH29" s="21">
        <f t="shared" si="19"/>
        <v>7.103874841</v>
      </c>
      <c r="AI29" s="21">
        <f t="shared" si="20"/>
        <v>213792271.7</v>
      </c>
      <c r="AJ29" s="21" t="str">
        <f t="shared" si="21"/>
        <v>Subiu</v>
      </c>
    </row>
    <row r="30">
      <c r="A30" s="10" t="s">
        <v>92</v>
      </c>
      <c r="B30" s="11">
        <v>45317.0</v>
      </c>
      <c r="C30" s="12">
        <v>17.52</v>
      </c>
      <c r="D30" s="13">
        <v>0.74</v>
      </c>
      <c r="E30" s="13">
        <v>-0.57</v>
      </c>
      <c r="F30" s="13">
        <v>-2.29</v>
      </c>
      <c r="G30" s="13">
        <v>-2.29</v>
      </c>
      <c r="H30" s="13">
        <v>56.87</v>
      </c>
      <c r="I30" s="13">
        <v>17.58</v>
      </c>
      <c r="J30" s="13">
        <v>17.36</v>
      </c>
      <c r="K30" s="10" t="s">
        <v>93</v>
      </c>
      <c r="L30" s="14">
        <f t="shared" si="1"/>
        <v>0.0074</v>
      </c>
      <c r="M30" s="15">
        <f t="shared" si="2"/>
        <v>17.39130435</v>
      </c>
      <c r="N30" s="16">
        <f>VLOOKUP(A30,'Total de Ações'!A:B,2,0)</f>
        <v>807896814</v>
      </c>
      <c r="O30" s="17">
        <f t="shared" si="3"/>
        <v>103972807.4</v>
      </c>
      <c r="P30" s="18" t="str">
        <f t="shared" si="4"/>
        <v>Subiu</v>
      </c>
      <c r="Q30" s="18" t="str">
        <f>VLOOKUP(A30,Ticker!A:B,2,0)</f>
        <v>TIM</v>
      </c>
      <c r="R30" s="18" t="str">
        <f>VLOOKUP(Q30,ChatGpt!A:C,2,0)</f>
        <v>Telecomunicações</v>
      </c>
      <c r="S30" s="18">
        <f>VLOOKUP(Q30,ChatGpt!A:C,3,0)</f>
        <v>20</v>
      </c>
      <c r="T30" s="18" t="str">
        <f t="shared" si="5"/>
        <v>Menos de 50</v>
      </c>
      <c r="U30" s="18">
        <f t="shared" si="6"/>
        <v>-0.0057</v>
      </c>
      <c r="V30" s="19">
        <f t="shared" si="7"/>
        <v>17.62043649</v>
      </c>
      <c r="W30" s="17">
        <f t="shared" si="8"/>
        <v>-81142318.65</v>
      </c>
      <c r="X30" s="17" t="str">
        <f t="shared" si="9"/>
        <v>Desceu</v>
      </c>
      <c r="Y30" s="20">
        <f t="shared" si="10"/>
        <v>-0.0229</v>
      </c>
      <c r="Z30" s="17">
        <f t="shared" si="11"/>
        <v>17.93061099</v>
      </c>
      <c r="AA30" s="17">
        <f t="shared" si="12"/>
        <v>-331731312</v>
      </c>
      <c r="AB30" s="17" t="str">
        <f t="shared" si="13"/>
        <v>Desceu</v>
      </c>
      <c r="AC30" s="20">
        <f t="shared" si="14"/>
        <v>-0.0229</v>
      </c>
      <c r="AD30" s="21">
        <f t="shared" si="15"/>
        <v>17.93061099</v>
      </c>
      <c r="AE30" s="21">
        <f t="shared" si="16"/>
        <v>-331731312</v>
      </c>
      <c r="AF30" s="21" t="str">
        <f t="shared" si="17"/>
        <v>Desceu</v>
      </c>
      <c r="AG30" s="20">
        <f t="shared" si="18"/>
        <v>0.5687</v>
      </c>
      <c r="AH30" s="21">
        <f t="shared" si="19"/>
        <v>11.16848346</v>
      </c>
      <c r="AI30" s="21">
        <f t="shared" si="20"/>
        <v>5131369979</v>
      </c>
      <c r="AJ30" s="21" t="str">
        <f t="shared" si="21"/>
        <v>Subiu</v>
      </c>
    </row>
    <row r="31">
      <c r="A31" s="10" t="s">
        <v>94</v>
      </c>
      <c r="B31" s="11">
        <v>45317.0</v>
      </c>
      <c r="C31" s="12">
        <v>23.22</v>
      </c>
      <c r="D31" s="13">
        <v>0.73</v>
      </c>
      <c r="E31" s="13">
        <v>1.93</v>
      </c>
      <c r="F31" s="13">
        <v>-9.51</v>
      </c>
      <c r="G31" s="13">
        <v>-9.51</v>
      </c>
      <c r="H31" s="13">
        <v>-20.4</v>
      </c>
      <c r="I31" s="13">
        <v>23.28</v>
      </c>
      <c r="J31" s="13">
        <v>22.69</v>
      </c>
      <c r="K31" s="10" t="s">
        <v>95</v>
      </c>
      <c r="L31" s="14">
        <f t="shared" si="1"/>
        <v>0.0073</v>
      </c>
      <c r="M31" s="15">
        <f t="shared" si="2"/>
        <v>23.05172243</v>
      </c>
      <c r="N31" s="16">
        <f>VLOOKUP(A31,'Total de Ações'!A:B,2,0)</f>
        <v>251003438</v>
      </c>
      <c r="O31" s="17">
        <f t="shared" si="3"/>
        <v>42238249.54</v>
      </c>
      <c r="P31" s="18" t="str">
        <f t="shared" si="4"/>
        <v>Subiu</v>
      </c>
      <c r="Q31" s="18" t="str">
        <f>VLOOKUP(A31,Ticker!A:B,2,0)</f>
        <v>Bradespar</v>
      </c>
      <c r="R31" s="18" t="str">
        <f>VLOOKUP(Q31,ChatGpt!A:C,2,0)</f>
        <v>Bancos</v>
      </c>
      <c r="S31" s="18">
        <f>VLOOKUP(Q31,ChatGpt!A:C,3,0)</f>
        <v>10</v>
      </c>
      <c r="T31" s="18" t="str">
        <f t="shared" si="5"/>
        <v>Menos de 50</v>
      </c>
      <c r="U31" s="18">
        <f t="shared" si="6"/>
        <v>0.0193</v>
      </c>
      <c r="V31" s="19">
        <f t="shared" si="7"/>
        <v>22.78033945</v>
      </c>
      <c r="W31" s="17">
        <f t="shared" si="8"/>
        <v>110356309.9</v>
      </c>
      <c r="X31" s="17" t="str">
        <f t="shared" si="9"/>
        <v>Subiu</v>
      </c>
      <c r="Y31" s="20">
        <f t="shared" si="10"/>
        <v>-0.0951</v>
      </c>
      <c r="Z31" s="17">
        <f t="shared" si="11"/>
        <v>25.66029396</v>
      </c>
      <c r="AA31" s="17">
        <f t="shared" si="12"/>
        <v>-612522172.5</v>
      </c>
      <c r="AB31" s="17" t="str">
        <f t="shared" si="13"/>
        <v>Desceu</v>
      </c>
      <c r="AC31" s="20">
        <f t="shared" si="14"/>
        <v>-0.0951</v>
      </c>
      <c r="AD31" s="21">
        <f t="shared" si="15"/>
        <v>25.66029396</v>
      </c>
      <c r="AE31" s="21">
        <f t="shared" si="16"/>
        <v>-612522172.5</v>
      </c>
      <c r="AF31" s="21" t="str">
        <f t="shared" si="17"/>
        <v>Desceu</v>
      </c>
      <c r="AG31" s="20">
        <f t="shared" si="18"/>
        <v>-0.204</v>
      </c>
      <c r="AH31" s="21">
        <f t="shared" si="19"/>
        <v>29.17085427</v>
      </c>
      <c r="AI31" s="21">
        <f t="shared" si="20"/>
        <v>-1493684881</v>
      </c>
      <c r="AJ31" s="21" t="str">
        <f t="shared" si="21"/>
        <v>Desceu</v>
      </c>
    </row>
    <row r="32">
      <c r="A32" s="10" t="s">
        <v>96</v>
      </c>
      <c r="B32" s="11">
        <v>45317.0</v>
      </c>
      <c r="C32" s="12">
        <v>5.55</v>
      </c>
      <c r="D32" s="13">
        <v>0.72</v>
      </c>
      <c r="E32" s="13">
        <v>-3.65</v>
      </c>
      <c r="F32" s="13">
        <v>-7.65</v>
      </c>
      <c r="G32" s="13">
        <v>-7.65</v>
      </c>
      <c r="H32" s="13">
        <v>-14.03</v>
      </c>
      <c r="I32" s="13">
        <v>5.6</v>
      </c>
      <c r="J32" s="13">
        <v>5.46</v>
      </c>
      <c r="K32" s="10" t="s">
        <v>97</v>
      </c>
      <c r="L32" s="14">
        <f t="shared" si="1"/>
        <v>0.0072</v>
      </c>
      <c r="M32" s="15">
        <f t="shared" si="2"/>
        <v>5.510325655</v>
      </c>
      <c r="N32" s="16">
        <f>VLOOKUP(A32,'Total de Ações'!A:B,2,0)</f>
        <v>393173139</v>
      </c>
      <c r="O32" s="17">
        <f t="shared" si="3"/>
        <v>15598886.65</v>
      </c>
      <c r="P32" s="18" t="str">
        <f t="shared" si="4"/>
        <v>Subiu</v>
      </c>
      <c r="Q32" s="18" t="str">
        <f>VLOOKUP(A32,Ticker!A:B,2,0)</f>
        <v>Locaweb</v>
      </c>
      <c r="R32" s="18" t="str">
        <f>VLOOKUP(Q32,ChatGpt!A:C,2,0)</f>
        <v>Tecnologia</v>
      </c>
      <c r="S32" s="18">
        <f>VLOOKUP(Q32,ChatGpt!A:C,3,0)</f>
        <v>20</v>
      </c>
      <c r="T32" s="18" t="str">
        <f t="shared" si="5"/>
        <v>Menos de 50</v>
      </c>
      <c r="U32" s="18">
        <f t="shared" si="6"/>
        <v>-0.0365</v>
      </c>
      <c r="V32" s="19">
        <f t="shared" si="7"/>
        <v>5.760249092</v>
      </c>
      <c r="W32" s="17">
        <f t="shared" si="8"/>
        <v>-82664295.42</v>
      </c>
      <c r="X32" s="17" t="str">
        <f t="shared" si="9"/>
        <v>Desceu</v>
      </c>
      <c r="Y32" s="20">
        <f t="shared" si="10"/>
        <v>-0.0765</v>
      </c>
      <c r="Z32" s="17">
        <f t="shared" si="11"/>
        <v>6.009745533</v>
      </c>
      <c r="AA32" s="17">
        <f t="shared" si="12"/>
        <v>-180759594.5</v>
      </c>
      <c r="AB32" s="17" t="str">
        <f t="shared" si="13"/>
        <v>Desceu</v>
      </c>
      <c r="AC32" s="20">
        <f t="shared" si="14"/>
        <v>-0.0765</v>
      </c>
      <c r="AD32" s="21">
        <f t="shared" si="15"/>
        <v>6.009745533</v>
      </c>
      <c r="AE32" s="21">
        <f t="shared" si="16"/>
        <v>-180759594.5</v>
      </c>
      <c r="AF32" s="21" t="str">
        <f t="shared" si="17"/>
        <v>Desceu</v>
      </c>
      <c r="AG32" s="20">
        <f t="shared" si="18"/>
        <v>-0.1403</v>
      </c>
      <c r="AH32" s="21">
        <f t="shared" si="19"/>
        <v>6.455740375</v>
      </c>
      <c r="AI32" s="21">
        <f t="shared" si="20"/>
        <v>-356112786.2</v>
      </c>
      <c r="AJ32" s="21" t="str">
        <f t="shared" si="21"/>
        <v>Desceu</v>
      </c>
    </row>
    <row r="33">
      <c r="A33" s="10" t="s">
        <v>98</v>
      </c>
      <c r="B33" s="11">
        <v>45317.0</v>
      </c>
      <c r="C33" s="12">
        <v>23.83</v>
      </c>
      <c r="D33" s="13">
        <v>0.71</v>
      </c>
      <c r="E33" s="13">
        <v>1.49</v>
      </c>
      <c r="F33" s="13">
        <v>9.71</v>
      </c>
      <c r="G33" s="13">
        <v>9.71</v>
      </c>
      <c r="H33" s="13">
        <v>-26.61</v>
      </c>
      <c r="I33" s="13">
        <v>23.99</v>
      </c>
      <c r="J33" s="13">
        <v>23.36</v>
      </c>
      <c r="K33" s="10" t="s">
        <v>99</v>
      </c>
      <c r="L33" s="14">
        <f t="shared" si="1"/>
        <v>0.0071</v>
      </c>
      <c r="M33" s="15">
        <f t="shared" si="2"/>
        <v>23.6619998</v>
      </c>
      <c r="N33" s="16">
        <f>VLOOKUP(A33,'Total de Ações'!A:B,2,0)</f>
        <v>275005663</v>
      </c>
      <c r="O33" s="17">
        <f t="shared" si="3"/>
        <v>46201006</v>
      </c>
      <c r="P33" s="18" t="str">
        <f t="shared" si="4"/>
        <v>Subiu</v>
      </c>
      <c r="Q33" s="18" t="str">
        <f>VLOOKUP(A33,Ticker!A:B,2,0)</f>
        <v>PetroRecôncavo</v>
      </c>
      <c r="R33" s="18" t="str">
        <f>VLOOKUP(Q33,ChatGpt!A:C,2,0)</f>
        <v>Petróleo e Gás</v>
      </c>
      <c r="S33" s="18">
        <f>VLOOKUP(Q33,ChatGpt!A:C,3,0)</f>
        <v>10</v>
      </c>
      <c r="T33" s="18" t="str">
        <f t="shared" si="5"/>
        <v>Menos de 50</v>
      </c>
      <c r="U33" s="18">
        <f t="shared" si="6"/>
        <v>0.0149</v>
      </c>
      <c r="V33" s="19">
        <f t="shared" si="7"/>
        <v>23.48014583</v>
      </c>
      <c r="W33" s="17">
        <f t="shared" si="8"/>
        <v>96211878.75</v>
      </c>
      <c r="X33" s="17" t="str">
        <f t="shared" si="9"/>
        <v>Subiu</v>
      </c>
      <c r="Y33" s="20">
        <f t="shared" si="10"/>
        <v>0.0971</v>
      </c>
      <c r="Z33" s="17">
        <f t="shared" si="11"/>
        <v>21.72090056</v>
      </c>
      <c r="AA33" s="17">
        <f t="shared" si="12"/>
        <v>580014290.9</v>
      </c>
      <c r="AB33" s="17" t="str">
        <f t="shared" si="13"/>
        <v>Subiu</v>
      </c>
      <c r="AC33" s="20">
        <f t="shared" si="14"/>
        <v>0.0971</v>
      </c>
      <c r="AD33" s="21">
        <f t="shared" si="15"/>
        <v>21.72090056</v>
      </c>
      <c r="AE33" s="21">
        <f t="shared" si="16"/>
        <v>580014290.9</v>
      </c>
      <c r="AF33" s="21" t="str">
        <f t="shared" si="17"/>
        <v>Subiu</v>
      </c>
      <c r="AG33" s="20">
        <f t="shared" si="18"/>
        <v>-0.2661</v>
      </c>
      <c r="AH33" s="21">
        <f t="shared" si="19"/>
        <v>32.47036381</v>
      </c>
      <c r="AI33" s="21">
        <f t="shared" si="20"/>
        <v>-2376148978</v>
      </c>
      <c r="AJ33" s="21" t="str">
        <f t="shared" si="21"/>
        <v>Desceu</v>
      </c>
    </row>
    <row r="34">
      <c r="A34" s="10" t="s">
        <v>100</v>
      </c>
      <c r="B34" s="11">
        <v>45317.0</v>
      </c>
      <c r="C34" s="12">
        <v>10.01</v>
      </c>
      <c r="D34" s="13">
        <v>0.7</v>
      </c>
      <c r="E34" s="13">
        <v>-0.3</v>
      </c>
      <c r="F34" s="13">
        <v>-3.47</v>
      </c>
      <c r="G34" s="13">
        <v>-3.47</v>
      </c>
      <c r="H34" s="13">
        <v>29.0</v>
      </c>
      <c r="I34" s="13">
        <v>10.06</v>
      </c>
      <c r="J34" s="13">
        <v>9.93</v>
      </c>
      <c r="K34" s="10" t="s">
        <v>101</v>
      </c>
      <c r="L34" s="14">
        <f t="shared" si="1"/>
        <v>0.007</v>
      </c>
      <c r="M34" s="15">
        <f t="shared" si="2"/>
        <v>9.94041708</v>
      </c>
      <c r="N34" s="16">
        <f>VLOOKUP(A34,'Total de Ações'!A:B,2,0)</f>
        <v>5372783971</v>
      </c>
      <c r="O34" s="17">
        <f t="shared" si="3"/>
        <v>373853994.9</v>
      </c>
      <c r="P34" s="18" t="str">
        <f t="shared" si="4"/>
        <v>Subiu</v>
      </c>
      <c r="Q34" s="18" t="str">
        <f>VLOOKUP(A34,Ticker!A:B,2,0)</f>
        <v>Itaúsa</v>
      </c>
      <c r="R34" s="18" t="str">
        <f>VLOOKUP(Q34,ChatGpt!A:C,2,0)</f>
        <v>Bancos</v>
      </c>
      <c r="S34" s="18">
        <f>VLOOKUP(Q34,ChatGpt!A:C,3,0)</f>
        <v>50</v>
      </c>
      <c r="T34" s="18" t="str">
        <f t="shared" si="5"/>
        <v>Entre 50 e 100</v>
      </c>
      <c r="U34" s="18">
        <f t="shared" si="6"/>
        <v>-0.003</v>
      </c>
      <c r="V34" s="19">
        <f t="shared" si="7"/>
        <v>10.04012036</v>
      </c>
      <c r="W34" s="17">
        <f t="shared" si="8"/>
        <v>-161830193.2</v>
      </c>
      <c r="X34" s="17" t="str">
        <f t="shared" si="9"/>
        <v>Desceu</v>
      </c>
      <c r="Y34" s="20">
        <f t="shared" si="10"/>
        <v>-0.0347</v>
      </c>
      <c r="Z34" s="17">
        <f t="shared" si="11"/>
        <v>10.36983321</v>
      </c>
      <c r="AA34" s="17">
        <f t="shared" si="12"/>
        <v>-1933306116</v>
      </c>
      <c r="AB34" s="17" t="str">
        <f t="shared" si="13"/>
        <v>Desceu</v>
      </c>
      <c r="AC34" s="20">
        <f t="shared" si="14"/>
        <v>-0.0347</v>
      </c>
      <c r="AD34" s="21">
        <f t="shared" si="15"/>
        <v>10.36983321</v>
      </c>
      <c r="AE34" s="21">
        <f t="shared" si="16"/>
        <v>-1933306116</v>
      </c>
      <c r="AF34" s="21" t="str">
        <f t="shared" si="17"/>
        <v>Desceu</v>
      </c>
      <c r="AG34" s="20">
        <f t="shared" si="18"/>
        <v>0.29</v>
      </c>
      <c r="AH34" s="21">
        <f t="shared" si="19"/>
        <v>7.759689922</v>
      </c>
      <c r="AI34" s="21">
        <f t="shared" si="20"/>
        <v>12090429914</v>
      </c>
      <c r="AJ34" s="21" t="str">
        <f t="shared" si="21"/>
        <v>Subiu</v>
      </c>
    </row>
    <row r="35">
      <c r="A35" s="10" t="s">
        <v>102</v>
      </c>
      <c r="B35" s="11">
        <v>45317.0</v>
      </c>
      <c r="C35" s="12">
        <v>56.97</v>
      </c>
      <c r="D35" s="13">
        <v>0.68</v>
      </c>
      <c r="E35" s="13">
        <v>1.88</v>
      </c>
      <c r="F35" s="13">
        <v>2.85</v>
      </c>
      <c r="G35" s="13">
        <v>2.85</v>
      </c>
      <c r="H35" s="13">
        <v>52.87</v>
      </c>
      <c r="I35" s="13">
        <v>56.99</v>
      </c>
      <c r="J35" s="13">
        <v>56.55</v>
      </c>
      <c r="K35" s="10" t="s">
        <v>103</v>
      </c>
      <c r="L35" s="14">
        <f t="shared" si="1"/>
        <v>0.0068</v>
      </c>
      <c r="M35" s="15">
        <f t="shared" si="2"/>
        <v>56.5852205</v>
      </c>
      <c r="N35" s="16">
        <f>VLOOKUP(A35,'Total de Ações'!A:B,2,0)</f>
        <v>1420949112</v>
      </c>
      <c r="O35" s="17">
        <f t="shared" si="3"/>
        <v>546752088</v>
      </c>
      <c r="P35" s="18" t="str">
        <f t="shared" si="4"/>
        <v>Subiu</v>
      </c>
      <c r="Q35" s="18" t="str">
        <f>VLOOKUP(A35,Ticker!A:B,2,0)</f>
        <v>Banco do Brasil</v>
      </c>
      <c r="R35" s="18" t="str">
        <f>VLOOKUP(Q35,ChatGpt!A:C,2,0)</f>
        <v>Bancos</v>
      </c>
      <c r="S35" s="18">
        <f>VLOOKUP(Q35,ChatGpt!A:C,3,0)</f>
        <v>200</v>
      </c>
      <c r="T35" s="18" t="str">
        <f t="shared" si="5"/>
        <v>Mais de 100</v>
      </c>
      <c r="U35" s="18">
        <f t="shared" si="6"/>
        <v>0.0188</v>
      </c>
      <c r="V35" s="19">
        <f t="shared" si="7"/>
        <v>55.91872792</v>
      </c>
      <c r="W35" s="17">
        <f t="shared" si="8"/>
        <v>1493804135</v>
      </c>
      <c r="X35" s="17" t="str">
        <f t="shared" si="9"/>
        <v>Subiu</v>
      </c>
      <c r="Y35" s="20">
        <f t="shared" si="10"/>
        <v>0.0285</v>
      </c>
      <c r="Z35" s="17">
        <f t="shared" si="11"/>
        <v>55.39134662</v>
      </c>
      <c r="AA35" s="17">
        <f t="shared" si="12"/>
        <v>2243186117</v>
      </c>
      <c r="AB35" s="17" t="str">
        <f t="shared" si="13"/>
        <v>Subiu</v>
      </c>
      <c r="AC35" s="20">
        <f t="shared" si="14"/>
        <v>0.0285</v>
      </c>
      <c r="AD35" s="21">
        <f t="shared" si="15"/>
        <v>55.39134662</v>
      </c>
      <c r="AE35" s="21">
        <f t="shared" si="16"/>
        <v>2243186117</v>
      </c>
      <c r="AF35" s="21" t="str">
        <f t="shared" si="17"/>
        <v>Subiu</v>
      </c>
      <c r="AG35" s="20">
        <f t="shared" si="18"/>
        <v>0.5287</v>
      </c>
      <c r="AH35" s="21">
        <f t="shared" si="19"/>
        <v>37.26695885</v>
      </c>
      <c r="AI35" s="21">
        <f t="shared" si="20"/>
        <v>27997018820</v>
      </c>
      <c r="AJ35" s="21" t="str">
        <f t="shared" si="21"/>
        <v>Subiu</v>
      </c>
    </row>
    <row r="36">
      <c r="A36" s="10" t="s">
        <v>104</v>
      </c>
      <c r="B36" s="11">
        <v>45317.0</v>
      </c>
      <c r="C36" s="12">
        <v>26.16</v>
      </c>
      <c r="D36" s="13">
        <v>0.61</v>
      </c>
      <c r="E36" s="13">
        <v>-2.75</v>
      </c>
      <c r="F36" s="13">
        <v>-11.02</v>
      </c>
      <c r="G36" s="13">
        <v>-11.02</v>
      </c>
      <c r="H36" s="13">
        <v>10.07</v>
      </c>
      <c r="I36" s="13">
        <v>26.38</v>
      </c>
      <c r="J36" s="13">
        <v>25.87</v>
      </c>
      <c r="K36" s="10" t="s">
        <v>105</v>
      </c>
      <c r="L36" s="14">
        <f t="shared" si="1"/>
        <v>0.0061</v>
      </c>
      <c r="M36" s="15">
        <f t="shared" si="2"/>
        <v>26.00139151</v>
      </c>
      <c r="N36" s="16">
        <f>VLOOKUP(A36,'Total de Ações'!A:B,2,0)</f>
        <v>1275798515</v>
      </c>
      <c r="O36" s="17">
        <f t="shared" si="3"/>
        <v>202352473.7</v>
      </c>
      <c r="P36" s="18" t="str">
        <f t="shared" si="4"/>
        <v>Subiu</v>
      </c>
      <c r="Q36" s="18" t="str">
        <f>VLOOKUP(A36,Ticker!A:B,2,0)</f>
        <v>RaiaDrogasil</v>
      </c>
      <c r="R36" s="18" t="str">
        <f>VLOOKUP(Q36,ChatGpt!A:C,2,0)</f>
        <v>Saúde</v>
      </c>
      <c r="S36" s="18">
        <f>VLOOKUP(Q36,ChatGpt!A:C,3,0)</f>
        <v>100</v>
      </c>
      <c r="T36" s="18" t="str">
        <f t="shared" si="5"/>
        <v>Entre 50 e 100</v>
      </c>
      <c r="U36" s="18">
        <f t="shared" si="6"/>
        <v>-0.0275</v>
      </c>
      <c r="V36" s="19">
        <f t="shared" si="7"/>
        <v>26.89974293</v>
      </c>
      <c r="W36" s="17">
        <f t="shared" si="8"/>
        <v>-943762932.3</v>
      </c>
      <c r="X36" s="17" t="str">
        <f t="shared" si="9"/>
        <v>Desceu</v>
      </c>
      <c r="Y36" s="20">
        <f t="shared" si="10"/>
        <v>-0.1102</v>
      </c>
      <c r="Z36" s="17">
        <f t="shared" si="11"/>
        <v>29.39986514</v>
      </c>
      <c r="AA36" s="17">
        <f t="shared" si="12"/>
        <v>-4133415132</v>
      </c>
      <c r="AB36" s="17" t="str">
        <f t="shared" si="13"/>
        <v>Desceu</v>
      </c>
      <c r="AC36" s="20">
        <f t="shared" si="14"/>
        <v>-0.1102</v>
      </c>
      <c r="AD36" s="21">
        <f t="shared" si="15"/>
        <v>29.39986514</v>
      </c>
      <c r="AE36" s="21">
        <f t="shared" si="16"/>
        <v>-4133415132</v>
      </c>
      <c r="AF36" s="21" t="str">
        <f t="shared" si="17"/>
        <v>Desceu</v>
      </c>
      <c r="AG36" s="20">
        <f t="shared" si="18"/>
        <v>0.1007</v>
      </c>
      <c r="AH36" s="21">
        <f t="shared" si="19"/>
        <v>23.76669392</v>
      </c>
      <c r="AI36" s="21">
        <f t="shared" si="20"/>
        <v>3053376340</v>
      </c>
      <c r="AJ36" s="21" t="str">
        <f t="shared" si="21"/>
        <v>Subiu</v>
      </c>
    </row>
    <row r="37">
      <c r="A37" s="10" t="s">
        <v>106</v>
      </c>
      <c r="B37" s="11">
        <v>45317.0</v>
      </c>
      <c r="C37" s="12">
        <v>10.08</v>
      </c>
      <c r="D37" s="13">
        <v>0.59</v>
      </c>
      <c r="E37" s="13">
        <v>3.28</v>
      </c>
      <c r="F37" s="13">
        <v>-7.18</v>
      </c>
      <c r="G37" s="13">
        <v>-7.18</v>
      </c>
      <c r="H37" s="13">
        <v>-21.14</v>
      </c>
      <c r="I37" s="13">
        <v>10.14</v>
      </c>
      <c r="J37" s="13">
        <v>10.03</v>
      </c>
      <c r="K37" s="10" t="s">
        <v>107</v>
      </c>
      <c r="L37" s="14">
        <f t="shared" si="1"/>
        <v>0.0059</v>
      </c>
      <c r="M37" s="15">
        <f t="shared" si="2"/>
        <v>10.02087683</v>
      </c>
      <c r="N37" s="16">
        <f>VLOOKUP(A37,'Total de Ações'!A:B,2,0)</f>
        <v>660411219</v>
      </c>
      <c r="O37" s="17">
        <f t="shared" si="3"/>
        <v>39045606.94</v>
      </c>
      <c r="P37" s="18" t="str">
        <f t="shared" si="4"/>
        <v>Subiu</v>
      </c>
      <c r="Q37" s="18" t="str">
        <f>VLOOKUP(A37,Ticker!A:B,2,0)</f>
        <v>Metalúrgica Gerdau</v>
      </c>
      <c r="R37" s="18" t="str">
        <f>VLOOKUP(Q37,ChatGpt!A:C,2,0)</f>
        <v>Siderurgia</v>
      </c>
      <c r="S37" s="18">
        <f>VLOOKUP(Q37,ChatGpt!A:C,3,0)</f>
        <v>100</v>
      </c>
      <c r="T37" s="18" t="str">
        <f t="shared" si="5"/>
        <v>Entre 50 e 100</v>
      </c>
      <c r="U37" s="18">
        <f t="shared" si="6"/>
        <v>0.0328</v>
      </c>
      <c r="V37" s="19">
        <f t="shared" si="7"/>
        <v>9.759876065</v>
      </c>
      <c r="W37" s="17">
        <f t="shared" si="8"/>
        <v>211413438.1</v>
      </c>
      <c r="X37" s="17" t="str">
        <f t="shared" si="9"/>
        <v>Subiu</v>
      </c>
      <c r="Y37" s="20">
        <f t="shared" si="10"/>
        <v>-0.0718</v>
      </c>
      <c r="Z37" s="17">
        <f t="shared" si="11"/>
        <v>10.85972851</v>
      </c>
      <c r="AA37" s="17">
        <f t="shared" si="12"/>
        <v>-514941453.7</v>
      </c>
      <c r="AB37" s="17" t="str">
        <f t="shared" si="13"/>
        <v>Desceu</v>
      </c>
      <c r="AC37" s="20">
        <f t="shared" si="14"/>
        <v>-0.0718</v>
      </c>
      <c r="AD37" s="21">
        <f t="shared" si="15"/>
        <v>10.85972851</v>
      </c>
      <c r="AE37" s="21">
        <f t="shared" si="16"/>
        <v>-514941453.7</v>
      </c>
      <c r="AF37" s="21" t="str">
        <f t="shared" si="17"/>
        <v>Desceu</v>
      </c>
      <c r="AG37" s="20">
        <f t="shared" si="18"/>
        <v>-0.2114</v>
      </c>
      <c r="AH37" s="21">
        <f t="shared" si="19"/>
        <v>12.78214557</v>
      </c>
      <c r="AI37" s="21">
        <f t="shared" si="20"/>
        <v>-1784527253</v>
      </c>
      <c r="AJ37" s="21" t="str">
        <f t="shared" si="21"/>
        <v>Desceu</v>
      </c>
    </row>
    <row r="38">
      <c r="A38" s="10" t="s">
        <v>108</v>
      </c>
      <c r="B38" s="11">
        <v>45317.0</v>
      </c>
      <c r="C38" s="12">
        <v>18.57</v>
      </c>
      <c r="D38" s="13">
        <v>0.59</v>
      </c>
      <c r="E38" s="13">
        <v>2.65</v>
      </c>
      <c r="F38" s="13">
        <v>-4.08</v>
      </c>
      <c r="G38" s="13">
        <v>-4.08</v>
      </c>
      <c r="H38" s="13">
        <v>13.35</v>
      </c>
      <c r="I38" s="13">
        <v>18.66</v>
      </c>
      <c r="J38" s="13">
        <v>18.3</v>
      </c>
      <c r="K38" s="10" t="s">
        <v>109</v>
      </c>
      <c r="L38" s="14">
        <f t="shared" si="1"/>
        <v>0.0059</v>
      </c>
      <c r="M38" s="15">
        <f t="shared" si="2"/>
        <v>18.46107963</v>
      </c>
      <c r="N38" s="16">
        <f>VLOOKUP(A38,'Total de Ações'!A:B,2,0)</f>
        <v>1168097881</v>
      </c>
      <c r="O38" s="17">
        <f t="shared" si="3"/>
        <v>127229653.2</v>
      </c>
      <c r="P38" s="18" t="str">
        <f t="shared" si="4"/>
        <v>Subiu</v>
      </c>
      <c r="Q38" s="18" t="str">
        <f>VLOOKUP(A38,Ticker!A:B,2,0)</f>
        <v>Cosan</v>
      </c>
      <c r="R38" s="18" t="str">
        <f>VLOOKUP(Q38,ChatGpt!A:C,2,0)</f>
        <v>Energia</v>
      </c>
      <c r="S38" s="18">
        <f>VLOOKUP(Q38,ChatGpt!A:C,3,0)</f>
        <v>20</v>
      </c>
      <c r="T38" s="18" t="str">
        <f t="shared" si="5"/>
        <v>Menos de 50</v>
      </c>
      <c r="U38" s="18">
        <f t="shared" si="6"/>
        <v>0.0265</v>
      </c>
      <c r="V38" s="19">
        <f t="shared" si="7"/>
        <v>18.09059912</v>
      </c>
      <c r="W38" s="17">
        <f t="shared" si="8"/>
        <v>559987148.3</v>
      </c>
      <c r="X38" s="17" t="str">
        <f t="shared" si="9"/>
        <v>Subiu</v>
      </c>
      <c r="Y38" s="20">
        <f t="shared" si="10"/>
        <v>-0.0408</v>
      </c>
      <c r="Z38" s="17">
        <f t="shared" si="11"/>
        <v>19.35988324</v>
      </c>
      <c r="AA38" s="17">
        <f t="shared" si="12"/>
        <v>-922660934.2</v>
      </c>
      <c r="AB38" s="17" t="str">
        <f t="shared" si="13"/>
        <v>Desceu</v>
      </c>
      <c r="AC38" s="20">
        <f t="shared" si="14"/>
        <v>-0.0408</v>
      </c>
      <c r="AD38" s="21">
        <f t="shared" si="15"/>
        <v>19.35988324</v>
      </c>
      <c r="AE38" s="21">
        <f t="shared" si="16"/>
        <v>-922660934.2</v>
      </c>
      <c r="AF38" s="21" t="str">
        <f t="shared" si="17"/>
        <v>Desceu</v>
      </c>
      <c r="AG38" s="20">
        <f t="shared" si="18"/>
        <v>0.1335</v>
      </c>
      <c r="AH38" s="21">
        <f t="shared" si="19"/>
        <v>16.38288487</v>
      </c>
      <c r="AI38" s="21">
        <f t="shared" si="20"/>
        <v>2554764549</v>
      </c>
      <c r="AJ38" s="21" t="str">
        <f t="shared" si="21"/>
        <v>Subiu</v>
      </c>
    </row>
    <row r="39">
      <c r="A39" s="10" t="s">
        <v>110</v>
      </c>
      <c r="B39" s="11">
        <v>45317.0</v>
      </c>
      <c r="C39" s="12">
        <v>24.34</v>
      </c>
      <c r="D39" s="13">
        <v>0.57</v>
      </c>
      <c r="E39" s="13">
        <v>2.48</v>
      </c>
      <c r="F39" s="13">
        <v>-2.29</v>
      </c>
      <c r="G39" s="13">
        <v>-2.29</v>
      </c>
      <c r="H39" s="13">
        <v>17.29</v>
      </c>
      <c r="I39" s="13">
        <v>24.56</v>
      </c>
      <c r="J39" s="13">
        <v>24.17</v>
      </c>
      <c r="K39" s="10" t="s">
        <v>111</v>
      </c>
      <c r="L39" s="14">
        <f t="shared" si="1"/>
        <v>0.0057</v>
      </c>
      <c r="M39" s="15">
        <f t="shared" si="2"/>
        <v>24.20204832</v>
      </c>
      <c r="N39" s="16">
        <f>VLOOKUP(A39,'Total de Ações'!A:B,2,0)</f>
        <v>1134986472</v>
      </c>
      <c r="O39" s="17">
        <f t="shared" si="3"/>
        <v>156573285.4</v>
      </c>
      <c r="P39" s="18" t="str">
        <f t="shared" si="4"/>
        <v>Subiu</v>
      </c>
      <c r="Q39" s="18" t="str">
        <f>VLOOKUP(A39,Ticker!A:B,2,0)</f>
        <v>JBS</v>
      </c>
      <c r="R39" s="18" t="str">
        <f>VLOOKUP(Q39,ChatGpt!A:C,2,0)</f>
        <v>Alimentos</v>
      </c>
      <c r="S39" s="18">
        <f>VLOOKUP(Q39,ChatGpt!A:C,3,0)</f>
        <v>60</v>
      </c>
      <c r="T39" s="18" t="str">
        <f t="shared" si="5"/>
        <v>Entre 50 e 100</v>
      </c>
      <c r="U39" s="18">
        <f t="shared" si="6"/>
        <v>0.0248</v>
      </c>
      <c r="V39" s="19">
        <f t="shared" si="7"/>
        <v>23.7509758</v>
      </c>
      <c r="W39" s="17">
        <f t="shared" si="8"/>
        <v>668534498.5</v>
      </c>
      <c r="X39" s="17" t="str">
        <f t="shared" si="9"/>
        <v>Subiu</v>
      </c>
      <c r="Y39" s="20">
        <f t="shared" si="10"/>
        <v>-0.0229</v>
      </c>
      <c r="Z39" s="17">
        <f t="shared" si="11"/>
        <v>24.91044929</v>
      </c>
      <c r="AA39" s="17">
        <f t="shared" si="12"/>
        <v>-647452225.6</v>
      </c>
      <c r="AB39" s="17" t="str">
        <f t="shared" si="13"/>
        <v>Desceu</v>
      </c>
      <c r="AC39" s="20">
        <f t="shared" si="14"/>
        <v>-0.0229</v>
      </c>
      <c r="AD39" s="21">
        <f t="shared" si="15"/>
        <v>24.91044929</v>
      </c>
      <c r="AE39" s="21">
        <f t="shared" si="16"/>
        <v>-647452225.6</v>
      </c>
      <c r="AF39" s="21" t="str">
        <f t="shared" si="17"/>
        <v>Desceu</v>
      </c>
      <c r="AG39" s="20">
        <f t="shared" si="18"/>
        <v>0.1729</v>
      </c>
      <c r="AH39" s="21">
        <f t="shared" si="19"/>
        <v>20.75198227</v>
      </c>
      <c r="AI39" s="21">
        <f t="shared" si="20"/>
        <v>4072351589</v>
      </c>
      <c r="AJ39" s="21" t="str">
        <f t="shared" si="21"/>
        <v>Subiu</v>
      </c>
    </row>
    <row r="40">
      <c r="A40" s="10" t="s">
        <v>112</v>
      </c>
      <c r="B40" s="11">
        <v>45317.0</v>
      </c>
      <c r="C40" s="12">
        <v>2.08</v>
      </c>
      <c r="D40" s="13">
        <v>0.48</v>
      </c>
      <c r="E40" s="13">
        <v>2.46</v>
      </c>
      <c r="F40" s="13">
        <v>-3.7</v>
      </c>
      <c r="G40" s="13">
        <v>-3.7</v>
      </c>
      <c r="H40" s="13">
        <v>-51.4</v>
      </c>
      <c r="I40" s="13">
        <v>2.1</v>
      </c>
      <c r="J40" s="13">
        <v>2.02</v>
      </c>
      <c r="K40" s="10" t="s">
        <v>113</v>
      </c>
      <c r="L40" s="14">
        <f t="shared" si="1"/>
        <v>0.0048</v>
      </c>
      <c r="M40" s="15">
        <f t="shared" si="2"/>
        <v>2.070063694</v>
      </c>
      <c r="N40" s="16">
        <f>VLOOKUP(A40,'Total de Ações'!A:B,2,0)</f>
        <v>2867627068</v>
      </c>
      <c r="O40" s="17">
        <f t="shared" si="3"/>
        <v>28493619.27</v>
      </c>
      <c r="P40" s="18" t="str">
        <f t="shared" si="4"/>
        <v>Subiu</v>
      </c>
      <c r="Q40" s="18" t="str">
        <f>VLOOKUP(A40,Ticker!A:B,2,0)</f>
        <v>Magazine Luiza</v>
      </c>
      <c r="R40" s="18" t="str">
        <f>VLOOKUP(Q40,ChatGpt!A:C,2,0)</f>
        <v>Varejo</v>
      </c>
      <c r="S40" s="18">
        <f>VLOOKUP(Q40,ChatGpt!A:C,3,0)</f>
        <v>60</v>
      </c>
      <c r="T40" s="18" t="str">
        <f t="shared" si="5"/>
        <v>Entre 50 e 100</v>
      </c>
      <c r="U40" s="18">
        <f t="shared" si="6"/>
        <v>0.0246</v>
      </c>
      <c r="V40" s="19">
        <f t="shared" si="7"/>
        <v>2.030060511</v>
      </c>
      <c r="W40" s="17">
        <f t="shared" si="8"/>
        <v>143207829.2</v>
      </c>
      <c r="X40" s="17" t="str">
        <f t="shared" si="9"/>
        <v>Subiu</v>
      </c>
      <c r="Y40" s="20">
        <f t="shared" si="10"/>
        <v>-0.037</v>
      </c>
      <c r="Z40" s="17">
        <f t="shared" si="11"/>
        <v>2.159916926</v>
      </c>
      <c r="AA40" s="17">
        <f t="shared" si="12"/>
        <v>-229171941</v>
      </c>
      <c r="AB40" s="17" t="str">
        <f t="shared" si="13"/>
        <v>Desceu</v>
      </c>
      <c r="AC40" s="20">
        <f t="shared" si="14"/>
        <v>-0.037</v>
      </c>
      <c r="AD40" s="21">
        <f t="shared" si="15"/>
        <v>2.159916926</v>
      </c>
      <c r="AE40" s="21">
        <f t="shared" si="16"/>
        <v>-229171941</v>
      </c>
      <c r="AF40" s="21" t="str">
        <f t="shared" si="17"/>
        <v>Desceu</v>
      </c>
      <c r="AG40" s="20">
        <f t="shared" si="18"/>
        <v>-0.514</v>
      </c>
      <c r="AH40" s="21">
        <f t="shared" si="19"/>
        <v>4.279835391</v>
      </c>
      <c r="AI40" s="21">
        <f t="shared" si="20"/>
        <v>-6308307512</v>
      </c>
      <c r="AJ40" s="21" t="str">
        <f t="shared" si="21"/>
        <v>Desceu</v>
      </c>
    </row>
    <row r="41">
      <c r="A41" s="10" t="s">
        <v>114</v>
      </c>
      <c r="B41" s="11">
        <v>45317.0</v>
      </c>
      <c r="C41" s="12">
        <v>13.75</v>
      </c>
      <c r="D41" s="13">
        <v>0.36</v>
      </c>
      <c r="E41" s="13">
        <v>-0.72</v>
      </c>
      <c r="F41" s="13">
        <v>-9.95</v>
      </c>
      <c r="G41" s="13">
        <v>-9.95</v>
      </c>
      <c r="H41" s="13">
        <v>15.78</v>
      </c>
      <c r="I41" s="13">
        <v>13.9</v>
      </c>
      <c r="J41" s="13">
        <v>13.67</v>
      </c>
      <c r="K41" s="10" t="s">
        <v>115</v>
      </c>
      <c r="L41" s="14">
        <f t="shared" si="1"/>
        <v>0.0036</v>
      </c>
      <c r="M41" s="15">
        <f t="shared" si="2"/>
        <v>13.70067756</v>
      </c>
      <c r="N41" s="16">
        <f>VLOOKUP(A41,'Total de Ações'!A:B,2,0)</f>
        <v>1500728902</v>
      </c>
      <c r="O41" s="17">
        <f t="shared" si="3"/>
        <v>74019610.05</v>
      </c>
      <c r="P41" s="18" t="str">
        <f t="shared" si="4"/>
        <v>Subiu</v>
      </c>
      <c r="Q41" s="18" t="str">
        <f>VLOOKUP(A41,Ticker!A:B,2,0)</f>
        <v>Banco Bradesco</v>
      </c>
      <c r="R41" s="18" t="str">
        <f>VLOOKUP(Q41,ChatGpt!A:C,2,0)</f>
        <v>Bancos</v>
      </c>
      <c r="S41" s="18">
        <f>VLOOKUP(Q41,ChatGpt!A:C,3,0)</f>
        <v>70</v>
      </c>
      <c r="T41" s="18" t="str">
        <f t="shared" si="5"/>
        <v>Entre 50 e 100</v>
      </c>
      <c r="U41" s="18">
        <f t="shared" si="6"/>
        <v>-0.0072</v>
      </c>
      <c r="V41" s="19">
        <f t="shared" si="7"/>
        <v>13.84971797</v>
      </c>
      <c r="W41" s="17">
        <f t="shared" si="8"/>
        <v>-149649638.7</v>
      </c>
      <c r="X41" s="17" t="str">
        <f t="shared" si="9"/>
        <v>Desceu</v>
      </c>
      <c r="Y41" s="20">
        <f t="shared" si="10"/>
        <v>-0.0995</v>
      </c>
      <c r="Z41" s="17">
        <f t="shared" si="11"/>
        <v>15.26929484</v>
      </c>
      <c r="AA41" s="17">
        <f t="shared" si="12"/>
        <v>-2280049671</v>
      </c>
      <c r="AB41" s="17" t="str">
        <f t="shared" si="13"/>
        <v>Desceu</v>
      </c>
      <c r="AC41" s="20">
        <f t="shared" si="14"/>
        <v>-0.0995</v>
      </c>
      <c r="AD41" s="21">
        <f t="shared" si="15"/>
        <v>15.26929484</v>
      </c>
      <c r="AE41" s="21">
        <f t="shared" si="16"/>
        <v>-2280049671</v>
      </c>
      <c r="AF41" s="21" t="str">
        <f t="shared" si="17"/>
        <v>Desceu</v>
      </c>
      <c r="AG41" s="20">
        <f t="shared" si="18"/>
        <v>0.1578</v>
      </c>
      <c r="AH41" s="21">
        <f t="shared" si="19"/>
        <v>11.87597167</v>
      </c>
      <c r="AI41" s="21">
        <f t="shared" si="20"/>
        <v>2812408477</v>
      </c>
      <c r="AJ41" s="21" t="str">
        <f t="shared" si="21"/>
        <v>Subiu</v>
      </c>
    </row>
    <row r="42">
      <c r="A42" s="10" t="s">
        <v>116</v>
      </c>
      <c r="B42" s="11">
        <v>45317.0</v>
      </c>
      <c r="C42" s="12">
        <v>21.84</v>
      </c>
      <c r="D42" s="13">
        <v>0.27</v>
      </c>
      <c r="E42" s="13">
        <v>3.65</v>
      </c>
      <c r="F42" s="13">
        <v>-8.08</v>
      </c>
      <c r="G42" s="13">
        <v>-8.08</v>
      </c>
      <c r="H42" s="13">
        <v>-26.1</v>
      </c>
      <c r="I42" s="13">
        <v>21.94</v>
      </c>
      <c r="J42" s="13">
        <v>21.7</v>
      </c>
      <c r="K42" s="10" t="s">
        <v>117</v>
      </c>
      <c r="L42" s="14">
        <f t="shared" si="1"/>
        <v>0.0027</v>
      </c>
      <c r="M42" s="15">
        <f t="shared" si="2"/>
        <v>21.78119078</v>
      </c>
      <c r="N42" s="16">
        <f>VLOOKUP(A42,'Total de Ações'!A:B,2,0)</f>
        <v>1118525506</v>
      </c>
      <c r="O42" s="17">
        <f t="shared" si="3"/>
        <v>65779607.1</v>
      </c>
      <c r="P42" s="18" t="str">
        <f t="shared" si="4"/>
        <v>Subiu</v>
      </c>
      <c r="Q42" s="18" t="str">
        <f>VLOOKUP(A42,Ticker!A:B,2,0)</f>
        <v>Gerdau</v>
      </c>
      <c r="R42" s="18" t="str">
        <f>VLOOKUP(Q42,ChatGpt!A:C,2,0)</f>
        <v>Siderurgia</v>
      </c>
      <c r="S42" s="18">
        <f>VLOOKUP(Q42,ChatGpt!A:C,3,0)</f>
        <v>100</v>
      </c>
      <c r="T42" s="18" t="str">
        <f t="shared" si="5"/>
        <v>Entre 50 e 100</v>
      </c>
      <c r="U42" s="18">
        <f t="shared" si="6"/>
        <v>0.0365</v>
      </c>
      <c r="V42" s="19">
        <f t="shared" si="7"/>
        <v>21.07091172</v>
      </c>
      <c r="W42" s="17">
        <f t="shared" si="8"/>
        <v>860244855.1</v>
      </c>
      <c r="X42" s="17" t="str">
        <f t="shared" si="9"/>
        <v>Subiu</v>
      </c>
      <c r="Y42" s="20">
        <f t="shared" si="10"/>
        <v>-0.0808</v>
      </c>
      <c r="Z42" s="17">
        <f t="shared" si="11"/>
        <v>23.75979112</v>
      </c>
      <c r="AA42" s="17">
        <f t="shared" si="12"/>
        <v>-2147335337</v>
      </c>
      <c r="AB42" s="17" t="str">
        <f t="shared" si="13"/>
        <v>Desceu</v>
      </c>
      <c r="AC42" s="20">
        <f t="shared" si="14"/>
        <v>-0.0808</v>
      </c>
      <c r="AD42" s="21">
        <f t="shared" si="15"/>
        <v>23.75979112</v>
      </c>
      <c r="AE42" s="21">
        <f t="shared" si="16"/>
        <v>-2147335337</v>
      </c>
      <c r="AF42" s="21" t="str">
        <f t="shared" si="17"/>
        <v>Desceu</v>
      </c>
      <c r="AG42" s="20">
        <f t="shared" si="18"/>
        <v>-0.261</v>
      </c>
      <c r="AH42" s="21">
        <f t="shared" si="19"/>
        <v>29.55345061</v>
      </c>
      <c r="AI42" s="21">
        <f t="shared" si="20"/>
        <v>-8627691245</v>
      </c>
      <c r="AJ42" s="21" t="str">
        <f t="shared" si="21"/>
        <v>Desceu</v>
      </c>
    </row>
    <row r="43">
      <c r="A43" s="10" t="s">
        <v>118</v>
      </c>
      <c r="B43" s="11">
        <v>45317.0</v>
      </c>
      <c r="C43" s="12">
        <v>3.74</v>
      </c>
      <c r="D43" s="13">
        <v>0.26</v>
      </c>
      <c r="E43" s="13">
        <v>0.0</v>
      </c>
      <c r="F43" s="13">
        <v>-7.2</v>
      </c>
      <c r="G43" s="13">
        <v>-7.2</v>
      </c>
      <c r="H43" s="13">
        <v>15.46</v>
      </c>
      <c r="I43" s="13">
        <v>3.78</v>
      </c>
      <c r="J43" s="13">
        <v>3.71</v>
      </c>
      <c r="K43" s="10" t="s">
        <v>119</v>
      </c>
      <c r="L43" s="14">
        <f t="shared" si="1"/>
        <v>0.0026</v>
      </c>
      <c r="M43" s="15">
        <f t="shared" si="2"/>
        <v>3.730301217</v>
      </c>
      <c r="N43" s="16">
        <f>VLOOKUP(A43,'Total de Ações'!A:B,2,0)</f>
        <v>1193047233</v>
      </c>
      <c r="O43" s="17">
        <f t="shared" si="3"/>
        <v>11571106.42</v>
      </c>
      <c r="P43" s="18" t="str">
        <f t="shared" si="4"/>
        <v>Subiu</v>
      </c>
      <c r="Q43" s="18" t="str">
        <f>VLOOKUP(A43,Ticker!A:B,2,0)</f>
        <v>Raízen</v>
      </c>
      <c r="R43" s="18" t="str">
        <f>VLOOKUP(Q43,ChatGpt!A:C,2,0)</f>
        <v>Energia</v>
      </c>
      <c r="S43" s="18">
        <f>VLOOKUP(Q43,ChatGpt!A:C,3,0)</f>
        <v>10</v>
      </c>
      <c r="T43" s="18" t="str">
        <f t="shared" si="5"/>
        <v>Menos de 50</v>
      </c>
      <c r="U43" s="18">
        <f t="shared" si="6"/>
        <v>0</v>
      </c>
      <c r="V43" s="19">
        <f t="shared" si="7"/>
        <v>3.74</v>
      </c>
      <c r="W43" s="17">
        <f t="shared" si="8"/>
        <v>0</v>
      </c>
      <c r="X43" s="17" t="str">
        <f t="shared" si="9"/>
        <v>Estável</v>
      </c>
      <c r="Y43" s="20">
        <f t="shared" si="10"/>
        <v>-0.072</v>
      </c>
      <c r="Z43" s="17">
        <f t="shared" si="11"/>
        <v>4.030172414</v>
      </c>
      <c r="AA43" s="17">
        <f t="shared" si="12"/>
        <v>-346189395.4</v>
      </c>
      <c r="AB43" s="17" t="str">
        <f t="shared" si="13"/>
        <v>Desceu</v>
      </c>
      <c r="AC43" s="20">
        <f t="shared" si="14"/>
        <v>-0.072</v>
      </c>
      <c r="AD43" s="21">
        <f t="shared" si="15"/>
        <v>4.030172414</v>
      </c>
      <c r="AE43" s="21">
        <f t="shared" si="16"/>
        <v>-346189395.4</v>
      </c>
      <c r="AF43" s="21" t="str">
        <f t="shared" si="17"/>
        <v>Desceu</v>
      </c>
      <c r="AG43" s="20">
        <f t="shared" si="18"/>
        <v>0.1546</v>
      </c>
      <c r="AH43" s="21">
        <f t="shared" si="19"/>
        <v>3.239217045</v>
      </c>
      <c r="AI43" s="21">
        <f t="shared" si="20"/>
        <v>597457719</v>
      </c>
      <c r="AJ43" s="21" t="str">
        <f t="shared" si="21"/>
        <v>Subiu</v>
      </c>
    </row>
    <row r="44">
      <c r="A44" s="10" t="s">
        <v>120</v>
      </c>
      <c r="B44" s="11">
        <v>45317.0</v>
      </c>
      <c r="C44" s="12">
        <v>10.07</v>
      </c>
      <c r="D44" s="13">
        <v>0.19</v>
      </c>
      <c r="E44" s="13">
        <v>0.9</v>
      </c>
      <c r="F44" s="13">
        <v>-2.8</v>
      </c>
      <c r="G44" s="13">
        <v>-2.8</v>
      </c>
      <c r="H44" s="13">
        <v>32.08</v>
      </c>
      <c r="I44" s="13">
        <v>10.13</v>
      </c>
      <c r="J44" s="13">
        <v>9.96</v>
      </c>
      <c r="K44" s="10" t="s">
        <v>121</v>
      </c>
      <c r="L44" s="14">
        <f t="shared" si="1"/>
        <v>0.0019</v>
      </c>
      <c r="M44" s="15">
        <f t="shared" si="2"/>
        <v>10.05090328</v>
      </c>
      <c r="N44" s="16">
        <f>VLOOKUP(A44,'Total de Ações'!A:B,2,0)</f>
        <v>1679335290</v>
      </c>
      <c r="O44" s="17">
        <f t="shared" si="3"/>
        <v>32069789.5</v>
      </c>
      <c r="P44" s="18" t="str">
        <f t="shared" si="4"/>
        <v>Subiu</v>
      </c>
      <c r="Q44" s="18" t="str">
        <f>VLOOKUP(A44,Ticker!A:B,2,0)</f>
        <v>Copel</v>
      </c>
      <c r="R44" s="18" t="str">
        <f>VLOOKUP(Q44,ChatGpt!A:C,2,0)</f>
        <v>Energia</v>
      </c>
      <c r="S44" s="18">
        <f>VLOOKUP(Q44,ChatGpt!A:C,3,0)</f>
        <v>60</v>
      </c>
      <c r="T44" s="18" t="str">
        <f t="shared" si="5"/>
        <v>Entre 50 e 100</v>
      </c>
      <c r="U44" s="18">
        <f t="shared" si="6"/>
        <v>0.009</v>
      </c>
      <c r="V44" s="19">
        <f t="shared" si="7"/>
        <v>9.980178394</v>
      </c>
      <c r="W44" s="17">
        <f t="shared" si="8"/>
        <v>150840592</v>
      </c>
      <c r="X44" s="17" t="str">
        <f t="shared" si="9"/>
        <v>Subiu</v>
      </c>
      <c r="Y44" s="20">
        <f t="shared" si="10"/>
        <v>-0.028</v>
      </c>
      <c r="Z44" s="17">
        <f t="shared" si="11"/>
        <v>10.3600823</v>
      </c>
      <c r="AA44" s="17">
        <f t="shared" si="12"/>
        <v>-487145451</v>
      </c>
      <c r="AB44" s="17" t="str">
        <f t="shared" si="13"/>
        <v>Desceu</v>
      </c>
      <c r="AC44" s="20">
        <f t="shared" si="14"/>
        <v>-0.028</v>
      </c>
      <c r="AD44" s="21">
        <f t="shared" si="15"/>
        <v>10.3600823</v>
      </c>
      <c r="AE44" s="21">
        <f t="shared" si="16"/>
        <v>-487145451</v>
      </c>
      <c r="AF44" s="21" t="str">
        <f t="shared" si="17"/>
        <v>Desceu</v>
      </c>
      <c r="AG44" s="20">
        <f t="shared" si="18"/>
        <v>0.3208</v>
      </c>
      <c r="AH44" s="21">
        <f t="shared" si="19"/>
        <v>7.624167171</v>
      </c>
      <c r="AI44" s="21">
        <f t="shared" si="20"/>
        <v>4107373382</v>
      </c>
      <c r="AJ44" s="21" t="str">
        <f t="shared" si="21"/>
        <v>Subiu</v>
      </c>
    </row>
    <row r="45">
      <c r="A45" s="10" t="s">
        <v>122</v>
      </c>
      <c r="B45" s="11">
        <v>45317.0</v>
      </c>
      <c r="C45" s="12">
        <v>8.18</v>
      </c>
      <c r="D45" s="13">
        <v>0.12</v>
      </c>
      <c r="E45" s="13">
        <v>-3.76</v>
      </c>
      <c r="F45" s="13">
        <v>-18.77</v>
      </c>
      <c r="G45" s="13">
        <v>-18.77</v>
      </c>
      <c r="H45" s="13">
        <v>-40.74</v>
      </c>
      <c r="I45" s="13">
        <v>8.27</v>
      </c>
      <c r="J45" s="13">
        <v>8.11</v>
      </c>
      <c r="K45" s="10" t="s">
        <v>123</v>
      </c>
      <c r="L45" s="14">
        <f t="shared" si="1"/>
        <v>0.0012</v>
      </c>
      <c r="M45" s="15">
        <f t="shared" si="2"/>
        <v>8.170195765</v>
      </c>
      <c r="N45" s="16">
        <f>VLOOKUP(A45,'Total de Ações'!A:B,2,0)</f>
        <v>421383330</v>
      </c>
      <c r="O45" s="17">
        <f t="shared" si="3"/>
        <v>4131341.158</v>
      </c>
      <c r="P45" s="18" t="str">
        <f t="shared" si="4"/>
        <v>Subiu</v>
      </c>
      <c r="Q45" s="18" t="str">
        <f>VLOOKUP(A45,Ticker!A:B,2,0)</f>
        <v>Grupo Vamos</v>
      </c>
      <c r="R45" s="18" t="str">
        <f>VLOOKUP(Q45,ChatGpt!A:C,2,0)</f>
        <v>Logística</v>
      </c>
      <c r="S45" s="18">
        <f>VLOOKUP(Q45,ChatGpt!A:C,3,0)</f>
        <v>10</v>
      </c>
      <c r="T45" s="18" t="str">
        <f t="shared" si="5"/>
        <v>Menos de 50</v>
      </c>
      <c r="U45" s="18">
        <f t="shared" si="6"/>
        <v>-0.0376</v>
      </c>
      <c r="V45" s="19">
        <f t="shared" si="7"/>
        <v>8.499584372</v>
      </c>
      <c r="W45" s="17">
        <f t="shared" si="8"/>
        <v>-134667527.1</v>
      </c>
      <c r="X45" s="17" t="str">
        <f t="shared" si="9"/>
        <v>Desceu</v>
      </c>
      <c r="Y45" s="20">
        <f t="shared" si="10"/>
        <v>-0.1877</v>
      </c>
      <c r="Z45" s="17">
        <f t="shared" si="11"/>
        <v>10.07017112</v>
      </c>
      <c r="AA45" s="17">
        <f t="shared" si="12"/>
        <v>-796486600.4</v>
      </c>
      <c r="AB45" s="17" t="str">
        <f t="shared" si="13"/>
        <v>Desceu</v>
      </c>
      <c r="AC45" s="20">
        <f t="shared" si="14"/>
        <v>-0.1877</v>
      </c>
      <c r="AD45" s="21">
        <f t="shared" si="15"/>
        <v>10.07017112</v>
      </c>
      <c r="AE45" s="21">
        <f t="shared" si="16"/>
        <v>-796486600.4</v>
      </c>
      <c r="AF45" s="21" t="str">
        <f t="shared" si="17"/>
        <v>Desceu</v>
      </c>
      <c r="AG45" s="20">
        <f t="shared" si="18"/>
        <v>-0.4074</v>
      </c>
      <c r="AH45" s="21">
        <f t="shared" si="19"/>
        <v>13.80357746</v>
      </c>
      <c r="AI45" s="21">
        <f t="shared" si="20"/>
        <v>-2369681795</v>
      </c>
      <c r="AJ45" s="21" t="str">
        <f t="shared" si="21"/>
        <v>Desceu</v>
      </c>
    </row>
    <row r="46">
      <c r="A46" s="10" t="s">
        <v>124</v>
      </c>
      <c r="B46" s="11">
        <v>45317.0</v>
      </c>
      <c r="C46" s="12">
        <v>9.74</v>
      </c>
      <c r="D46" s="13">
        <v>0.0</v>
      </c>
      <c r="E46" s="13">
        <v>5.3</v>
      </c>
      <c r="F46" s="13">
        <v>0.41</v>
      </c>
      <c r="G46" s="13">
        <v>0.41</v>
      </c>
      <c r="H46" s="13">
        <v>17.99</v>
      </c>
      <c r="I46" s="13">
        <v>9.86</v>
      </c>
      <c r="J46" s="13">
        <v>9.61</v>
      </c>
      <c r="K46" s="10" t="s">
        <v>125</v>
      </c>
      <c r="L46" s="14">
        <f t="shared" si="1"/>
        <v>0</v>
      </c>
      <c r="M46" s="15">
        <f t="shared" si="2"/>
        <v>9.74</v>
      </c>
      <c r="N46" s="16">
        <f>VLOOKUP(A46,'Total de Ações'!A:B,2,0)</f>
        <v>331799687</v>
      </c>
      <c r="O46" s="17">
        <f t="shared" si="3"/>
        <v>0</v>
      </c>
      <c r="P46" s="18" t="str">
        <f t="shared" si="4"/>
        <v>Estável</v>
      </c>
      <c r="Q46" s="18" t="str">
        <f>VLOOKUP(A46,Ticker!A:B,2,0)</f>
        <v>Marfrig</v>
      </c>
      <c r="R46" s="18" t="str">
        <f>VLOOKUP(Q46,ChatGpt!A:C,2,0)</f>
        <v>Alimentos</v>
      </c>
      <c r="S46" s="18">
        <f>VLOOKUP(Q46,ChatGpt!A:C,3,0)</f>
        <v>10</v>
      </c>
      <c r="T46" s="18" t="str">
        <f t="shared" si="5"/>
        <v>Menos de 50</v>
      </c>
      <c r="U46" s="18">
        <f t="shared" si="6"/>
        <v>0.053</v>
      </c>
      <c r="V46" s="19">
        <f t="shared" si="7"/>
        <v>9.249762583</v>
      </c>
      <c r="W46" s="17">
        <f t="shared" si="8"/>
        <v>162660621.5</v>
      </c>
      <c r="X46" s="17" t="str">
        <f t="shared" si="9"/>
        <v>Subiu</v>
      </c>
      <c r="Y46" s="20">
        <f t="shared" si="10"/>
        <v>0.0041</v>
      </c>
      <c r="Z46" s="17">
        <f t="shared" si="11"/>
        <v>9.700229061</v>
      </c>
      <c r="AA46" s="17">
        <f t="shared" si="12"/>
        <v>13195985.16</v>
      </c>
      <c r="AB46" s="17" t="str">
        <f t="shared" si="13"/>
        <v>Subiu</v>
      </c>
      <c r="AC46" s="20">
        <f t="shared" si="14"/>
        <v>0.0041</v>
      </c>
      <c r="AD46" s="21">
        <f t="shared" si="15"/>
        <v>9.700229061</v>
      </c>
      <c r="AE46" s="21">
        <f t="shared" si="16"/>
        <v>13195985.16</v>
      </c>
      <c r="AF46" s="21" t="str">
        <f t="shared" si="17"/>
        <v>Subiu</v>
      </c>
      <c r="AG46" s="20">
        <f t="shared" si="18"/>
        <v>0.1799</v>
      </c>
      <c r="AH46" s="21">
        <f t="shared" si="19"/>
        <v>8.254936859</v>
      </c>
      <c r="AI46" s="21">
        <f t="shared" si="20"/>
        <v>492743485.3</v>
      </c>
      <c r="AJ46" s="21" t="str">
        <f t="shared" si="21"/>
        <v>Subiu</v>
      </c>
    </row>
    <row r="47">
      <c r="A47" s="10" t="s">
        <v>126</v>
      </c>
      <c r="B47" s="11">
        <v>45317.0</v>
      </c>
      <c r="C47" s="12">
        <v>13.2</v>
      </c>
      <c r="D47" s="13">
        <v>0.0</v>
      </c>
      <c r="E47" s="13">
        <v>-1.12</v>
      </c>
      <c r="F47" s="13">
        <v>-3.86</v>
      </c>
      <c r="G47" s="13">
        <v>-3.86</v>
      </c>
      <c r="H47" s="13">
        <v>0.3</v>
      </c>
      <c r="I47" s="13">
        <v>13.29</v>
      </c>
      <c r="J47" s="13">
        <v>13.15</v>
      </c>
      <c r="K47" s="10" t="s">
        <v>127</v>
      </c>
      <c r="L47" s="14">
        <f t="shared" si="1"/>
        <v>0</v>
      </c>
      <c r="M47" s="15">
        <f t="shared" si="2"/>
        <v>13.2</v>
      </c>
      <c r="N47" s="16">
        <f>VLOOKUP(A47,'Total de Ações'!A:B,2,0)</f>
        <v>4394245879</v>
      </c>
      <c r="O47" s="17">
        <f t="shared" si="3"/>
        <v>0</v>
      </c>
      <c r="P47" s="18" t="str">
        <f t="shared" si="4"/>
        <v>Estável</v>
      </c>
      <c r="Q47" s="18" t="str">
        <f>VLOOKUP(A47,Ticker!A:B,2,0)</f>
        <v>Ambev</v>
      </c>
      <c r="R47" s="18" t="str">
        <f>VLOOKUP(Q47,ChatGpt!A:C,2,0)</f>
        <v>Bebidas</v>
      </c>
      <c r="S47" s="18">
        <f>VLOOKUP(Q47,ChatGpt!A:C,3,0)</f>
        <v>20</v>
      </c>
      <c r="T47" s="18" t="str">
        <f t="shared" si="5"/>
        <v>Menos de 50</v>
      </c>
      <c r="U47" s="18">
        <f t="shared" si="6"/>
        <v>-0.0112</v>
      </c>
      <c r="V47" s="19">
        <f t="shared" si="7"/>
        <v>13.34951456</v>
      </c>
      <c r="W47" s="17">
        <f t="shared" si="8"/>
        <v>-657003752.8</v>
      </c>
      <c r="X47" s="17" t="str">
        <f t="shared" si="9"/>
        <v>Desceu</v>
      </c>
      <c r="Y47" s="20">
        <f t="shared" si="10"/>
        <v>-0.0386</v>
      </c>
      <c r="Z47" s="17">
        <f t="shared" si="11"/>
        <v>13.72997712</v>
      </c>
      <c r="AA47" s="17">
        <f t="shared" si="12"/>
        <v>-2328849761</v>
      </c>
      <c r="AB47" s="17" t="str">
        <f t="shared" si="13"/>
        <v>Desceu</v>
      </c>
      <c r="AC47" s="20">
        <f t="shared" si="14"/>
        <v>-0.0386</v>
      </c>
      <c r="AD47" s="21">
        <f t="shared" si="15"/>
        <v>13.72997712</v>
      </c>
      <c r="AE47" s="21">
        <f t="shared" si="16"/>
        <v>-2328849761</v>
      </c>
      <c r="AF47" s="21" t="str">
        <f t="shared" si="17"/>
        <v>Desceu</v>
      </c>
      <c r="AG47" s="20">
        <f t="shared" si="18"/>
        <v>0.003</v>
      </c>
      <c r="AH47" s="21">
        <f t="shared" si="19"/>
        <v>13.16051844</v>
      </c>
      <c r="AI47" s="21">
        <f t="shared" si="20"/>
        <v>173491661.8</v>
      </c>
      <c r="AJ47" s="21" t="str">
        <f t="shared" si="21"/>
        <v>Subiu</v>
      </c>
    </row>
    <row r="48">
      <c r="A48" s="10" t="s">
        <v>128</v>
      </c>
      <c r="B48" s="11">
        <v>45317.0</v>
      </c>
      <c r="C48" s="12">
        <v>33.73</v>
      </c>
      <c r="D48" s="13">
        <v>-0.02</v>
      </c>
      <c r="E48" s="13">
        <v>-2.37</v>
      </c>
      <c r="F48" s="13">
        <v>0.24</v>
      </c>
      <c r="G48" s="13">
        <v>0.24</v>
      </c>
      <c r="H48" s="13">
        <v>0.91</v>
      </c>
      <c r="I48" s="13">
        <v>34.03</v>
      </c>
      <c r="J48" s="13">
        <v>33.73</v>
      </c>
      <c r="K48" s="10" t="s">
        <v>129</v>
      </c>
      <c r="L48" s="14">
        <f t="shared" si="1"/>
        <v>-0.0002</v>
      </c>
      <c r="M48" s="15">
        <f t="shared" si="2"/>
        <v>33.73674735</v>
      </c>
      <c r="N48" s="16">
        <f>VLOOKUP(A48,'Total de Ações'!A:B,2,0)</f>
        <v>671750768</v>
      </c>
      <c r="O48" s="17">
        <f t="shared" si="3"/>
        <v>-4532537.188</v>
      </c>
      <c r="P48" s="18" t="str">
        <f t="shared" si="4"/>
        <v>Desceu</v>
      </c>
      <c r="Q48" s="18" t="str">
        <f>VLOOKUP(A48,Ticker!A:B,2,0)</f>
        <v>BB Seguridade</v>
      </c>
      <c r="R48" s="18" t="str">
        <f>VLOOKUP(Q48,ChatGpt!A:C,2,0)</f>
        <v>Seguros</v>
      </c>
      <c r="S48" s="18">
        <f>VLOOKUP(Q48,ChatGpt!A:C,3,0)</f>
        <v>10</v>
      </c>
      <c r="T48" s="18" t="str">
        <f t="shared" si="5"/>
        <v>Menos de 50</v>
      </c>
      <c r="U48" s="18">
        <f t="shared" si="6"/>
        <v>-0.0237</v>
      </c>
      <c r="V48" s="19">
        <f t="shared" si="7"/>
        <v>34.54880672</v>
      </c>
      <c r="W48" s="17">
        <f t="shared" si="8"/>
        <v>-550034042.5</v>
      </c>
      <c r="X48" s="17" t="str">
        <f t="shared" si="9"/>
        <v>Desceu</v>
      </c>
      <c r="Y48" s="20">
        <f t="shared" si="10"/>
        <v>0.0024</v>
      </c>
      <c r="Z48" s="17">
        <f t="shared" si="11"/>
        <v>33.64924182</v>
      </c>
      <c r="AA48" s="17">
        <f t="shared" si="12"/>
        <v>54249369.68</v>
      </c>
      <c r="AB48" s="17" t="str">
        <f t="shared" si="13"/>
        <v>Subiu</v>
      </c>
      <c r="AC48" s="20">
        <f t="shared" si="14"/>
        <v>0.0024</v>
      </c>
      <c r="AD48" s="21">
        <f t="shared" si="15"/>
        <v>33.64924182</v>
      </c>
      <c r="AE48" s="21">
        <f t="shared" si="16"/>
        <v>54249369.68</v>
      </c>
      <c r="AF48" s="21" t="str">
        <f t="shared" si="17"/>
        <v>Subiu</v>
      </c>
      <c r="AG48" s="20">
        <f t="shared" si="18"/>
        <v>0.0091</v>
      </c>
      <c r="AH48" s="21">
        <f t="shared" si="19"/>
        <v>33.42582499</v>
      </c>
      <c r="AI48" s="21">
        <f t="shared" si="20"/>
        <v>204329794.8</v>
      </c>
      <c r="AJ48" s="21" t="str">
        <f t="shared" si="21"/>
        <v>Subiu</v>
      </c>
    </row>
    <row r="49">
      <c r="A49" s="10" t="s">
        <v>130</v>
      </c>
      <c r="B49" s="11">
        <v>45317.0</v>
      </c>
      <c r="C49" s="12">
        <v>77.04</v>
      </c>
      <c r="D49" s="13">
        <v>-0.06</v>
      </c>
      <c r="E49" s="13">
        <v>1.37</v>
      </c>
      <c r="F49" s="13">
        <v>2.22</v>
      </c>
      <c r="G49" s="13">
        <v>2.22</v>
      </c>
      <c r="H49" s="13">
        <v>45.92</v>
      </c>
      <c r="I49" s="13">
        <v>77.69</v>
      </c>
      <c r="J49" s="13">
        <v>76.52</v>
      </c>
      <c r="K49" s="10" t="s">
        <v>131</v>
      </c>
      <c r="L49" s="14">
        <f t="shared" si="1"/>
        <v>-0.0006</v>
      </c>
      <c r="M49" s="15">
        <f t="shared" si="2"/>
        <v>77.08625175</v>
      </c>
      <c r="N49" s="16">
        <f>VLOOKUP(A49,'Total de Ações'!A:B,2,0)</f>
        <v>340001799</v>
      </c>
      <c r="O49" s="17">
        <f t="shared" si="3"/>
        <v>-15725678.56</v>
      </c>
      <c r="P49" s="18" t="str">
        <f t="shared" si="4"/>
        <v>Desceu</v>
      </c>
      <c r="Q49" s="18" t="str">
        <f>VLOOKUP(A49,Ticker!A:B,2,0)</f>
        <v>Sabesp</v>
      </c>
      <c r="R49" s="18" t="str">
        <f>VLOOKUP(Q49,ChatGpt!A:C,2,0)</f>
        <v>Água e Saneamento</v>
      </c>
      <c r="S49" s="18">
        <f>VLOOKUP(Q49,ChatGpt!A:C,3,0)</f>
        <v>50</v>
      </c>
      <c r="T49" s="18" t="str">
        <f t="shared" si="5"/>
        <v>Entre 50 e 100</v>
      </c>
      <c r="U49" s="18">
        <f t="shared" si="6"/>
        <v>0.0137</v>
      </c>
      <c r="V49" s="19">
        <f t="shared" si="7"/>
        <v>75.99881622</v>
      </c>
      <c r="W49" s="17">
        <f t="shared" si="8"/>
        <v>354004359</v>
      </c>
      <c r="X49" s="17" t="str">
        <f t="shared" si="9"/>
        <v>Subiu</v>
      </c>
      <c r="Y49" s="20">
        <f t="shared" si="10"/>
        <v>0.0222</v>
      </c>
      <c r="Z49" s="17">
        <f t="shared" si="11"/>
        <v>75.3668558</v>
      </c>
      <c r="AA49" s="17">
        <f t="shared" si="12"/>
        <v>568872037.6</v>
      </c>
      <c r="AB49" s="17" t="str">
        <f t="shared" si="13"/>
        <v>Subiu</v>
      </c>
      <c r="AC49" s="20">
        <f t="shared" si="14"/>
        <v>0.0222</v>
      </c>
      <c r="AD49" s="21">
        <f t="shared" si="15"/>
        <v>75.3668558</v>
      </c>
      <c r="AE49" s="21">
        <f t="shared" si="16"/>
        <v>568872037.6</v>
      </c>
      <c r="AF49" s="21" t="str">
        <f t="shared" si="17"/>
        <v>Subiu</v>
      </c>
      <c r="AG49" s="20">
        <f t="shared" si="18"/>
        <v>0.4592</v>
      </c>
      <c r="AH49" s="21">
        <f t="shared" si="19"/>
        <v>52.79605263</v>
      </c>
      <c r="AI49" s="21">
        <f t="shared" si="20"/>
        <v>8242985720</v>
      </c>
      <c r="AJ49" s="21" t="str">
        <f t="shared" si="21"/>
        <v>Subiu</v>
      </c>
    </row>
    <row r="50">
      <c r="A50" s="10" t="s">
        <v>132</v>
      </c>
      <c r="B50" s="11">
        <v>45317.0</v>
      </c>
      <c r="C50" s="12">
        <v>30.88</v>
      </c>
      <c r="D50" s="13">
        <v>-0.06</v>
      </c>
      <c r="E50" s="13">
        <v>-2.65</v>
      </c>
      <c r="F50" s="13">
        <v>-8.34</v>
      </c>
      <c r="G50" s="13">
        <v>-8.34</v>
      </c>
      <c r="H50" s="13">
        <v>5.89</v>
      </c>
      <c r="I50" s="13">
        <v>31.34</v>
      </c>
      <c r="J50" s="13">
        <v>30.65</v>
      </c>
      <c r="K50" s="10" t="s">
        <v>133</v>
      </c>
      <c r="L50" s="14">
        <f t="shared" si="1"/>
        <v>-0.0006</v>
      </c>
      <c r="M50" s="15">
        <f t="shared" si="2"/>
        <v>30.89853912</v>
      </c>
      <c r="N50" s="16">
        <f>VLOOKUP(A50,'Total de Ações'!A:B,2,0)</f>
        <v>514122351</v>
      </c>
      <c r="O50" s="17">
        <f t="shared" si="3"/>
        <v>-9531377.746</v>
      </c>
      <c r="P50" s="18" t="str">
        <f t="shared" si="4"/>
        <v>Desceu</v>
      </c>
      <c r="Q50" s="18" t="str">
        <f>VLOOKUP(A50,Ticker!A:B,2,0)</f>
        <v>Totvs</v>
      </c>
      <c r="R50" s="18" t="str">
        <f>VLOOKUP(Q50,ChatGpt!A:C,2,0)</f>
        <v>Tecnologia</v>
      </c>
      <c r="S50" s="18">
        <f>VLOOKUP(Q50,ChatGpt!A:C,3,0)</f>
        <v>50</v>
      </c>
      <c r="T50" s="18" t="str">
        <f t="shared" si="5"/>
        <v>Entre 50 e 100</v>
      </c>
      <c r="U50" s="18">
        <f t="shared" si="6"/>
        <v>-0.0265</v>
      </c>
      <c r="V50" s="19">
        <f t="shared" si="7"/>
        <v>31.72059579</v>
      </c>
      <c r="W50" s="17">
        <f t="shared" si="8"/>
        <v>-432169083</v>
      </c>
      <c r="X50" s="17" t="str">
        <f t="shared" si="9"/>
        <v>Desceu</v>
      </c>
      <c r="Y50" s="20">
        <f t="shared" si="10"/>
        <v>-0.0834</v>
      </c>
      <c r="Z50" s="17">
        <f t="shared" si="11"/>
        <v>33.68972289</v>
      </c>
      <c r="AA50" s="17">
        <f t="shared" si="12"/>
        <v>-1444541337</v>
      </c>
      <c r="AB50" s="17" t="str">
        <f t="shared" si="13"/>
        <v>Desceu</v>
      </c>
      <c r="AC50" s="20">
        <f t="shared" si="14"/>
        <v>-0.0834</v>
      </c>
      <c r="AD50" s="21">
        <f t="shared" si="15"/>
        <v>33.68972289</v>
      </c>
      <c r="AE50" s="21">
        <f t="shared" si="16"/>
        <v>-1444541337</v>
      </c>
      <c r="AF50" s="21" t="str">
        <f t="shared" si="17"/>
        <v>Desceu</v>
      </c>
      <c r="AG50" s="20">
        <f t="shared" si="18"/>
        <v>0.0589</v>
      </c>
      <c r="AH50" s="21">
        <f t="shared" si="19"/>
        <v>29.16233828</v>
      </c>
      <c r="AI50" s="21">
        <f t="shared" si="20"/>
        <v>883088284</v>
      </c>
      <c r="AJ50" s="21" t="str">
        <f t="shared" si="21"/>
        <v>Subiu</v>
      </c>
    </row>
    <row r="51">
      <c r="A51" s="10" t="s">
        <v>134</v>
      </c>
      <c r="B51" s="11">
        <v>45317.0</v>
      </c>
      <c r="C51" s="12">
        <v>11.64</v>
      </c>
      <c r="D51" s="13">
        <v>-0.17</v>
      </c>
      <c r="E51" s="13">
        <v>0.95</v>
      </c>
      <c r="F51" s="13">
        <v>1.39</v>
      </c>
      <c r="G51" s="13">
        <v>1.39</v>
      </c>
      <c r="H51" s="13">
        <v>12.26</v>
      </c>
      <c r="I51" s="13">
        <v>11.8</v>
      </c>
      <c r="J51" s="13">
        <v>11.64</v>
      </c>
      <c r="K51" s="10" t="s">
        <v>135</v>
      </c>
      <c r="L51" s="14">
        <f t="shared" si="1"/>
        <v>-0.0017</v>
      </c>
      <c r="M51" s="15">
        <f t="shared" si="2"/>
        <v>11.6598217</v>
      </c>
      <c r="N51" s="16">
        <f>VLOOKUP(A51,'Total de Ações'!A:B,2,0)</f>
        <v>1437415777</v>
      </c>
      <c r="O51" s="17">
        <f t="shared" si="3"/>
        <v>-28492019.83</v>
      </c>
      <c r="P51" s="18" t="str">
        <f t="shared" si="4"/>
        <v>Desceu</v>
      </c>
      <c r="Q51" s="18" t="str">
        <f>VLOOKUP(A51,Ticker!A:B,2,0)</f>
        <v>CEMIG</v>
      </c>
      <c r="R51" s="18" t="str">
        <f>VLOOKUP(Q51,ChatGpt!A:C,2,0)</f>
        <v>Energia</v>
      </c>
      <c r="S51" s="18">
        <f>VLOOKUP(Q51,ChatGpt!A:C,3,0)</f>
        <v>60</v>
      </c>
      <c r="T51" s="18" t="str">
        <f t="shared" si="5"/>
        <v>Entre 50 e 100</v>
      </c>
      <c r="U51" s="18">
        <f t="shared" si="6"/>
        <v>0.0095</v>
      </c>
      <c r="V51" s="19">
        <f t="shared" si="7"/>
        <v>11.53046062</v>
      </c>
      <c r="W51" s="17">
        <f t="shared" si="8"/>
        <v>157453627.2</v>
      </c>
      <c r="X51" s="17" t="str">
        <f t="shared" si="9"/>
        <v>Subiu</v>
      </c>
      <c r="Y51" s="20">
        <f t="shared" si="10"/>
        <v>0.0139</v>
      </c>
      <c r="Z51" s="17">
        <f t="shared" si="11"/>
        <v>11.48042213</v>
      </c>
      <c r="AA51" s="17">
        <f t="shared" si="12"/>
        <v>229379744.6</v>
      </c>
      <c r="AB51" s="17" t="str">
        <f t="shared" si="13"/>
        <v>Subiu</v>
      </c>
      <c r="AC51" s="20">
        <f t="shared" si="14"/>
        <v>0.0139</v>
      </c>
      <c r="AD51" s="21">
        <f t="shared" si="15"/>
        <v>11.48042213</v>
      </c>
      <c r="AE51" s="21">
        <f t="shared" si="16"/>
        <v>229379744.6</v>
      </c>
      <c r="AF51" s="21" t="str">
        <f t="shared" si="17"/>
        <v>Subiu</v>
      </c>
      <c r="AG51" s="20">
        <f t="shared" si="18"/>
        <v>0.1226</v>
      </c>
      <c r="AH51" s="21">
        <f t="shared" si="19"/>
        <v>10.36878675</v>
      </c>
      <c r="AI51" s="21">
        <f t="shared" si="20"/>
        <v>1827261989</v>
      </c>
      <c r="AJ51" s="21" t="str">
        <f t="shared" si="21"/>
        <v>Subiu</v>
      </c>
    </row>
    <row r="52">
      <c r="A52" s="10" t="s">
        <v>136</v>
      </c>
      <c r="B52" s="11">
        <v>45317.0</v>
      </c>
      <c r="C52" s="12">
        <v>46.04</v>
      </c>
      <c r="D52" s="13">
        <v>-0.19</v>
      </c>
      <c r="E52" s="13">
        <v>-1.41</v>
      </c>
      <c r="F52" s="13">
        <v>-2.0</v>
      </c>
      <c r="G52" s="13">
        <v>-2.0</v>
      </c>
      <c r="H52" s="13">
        <v>7.43</v>
      </c>
      <c r="I52" s="13">
        <v>46.42</v>
      </c>
      <c r="J52" s="13">
        <v>45.91</v>
      </c>
      <c r="K52" s="10" t="s">
        <v>137</v>
      </c>
      <c r="L52" s="14">
        <f t="shared" si="1"/>
        <v>-0.0019</v>
      </c>
      <c r="M52" s="15">
        <f t="shared" si="2"/>
        <v>46.12764252</v>
      </c>
      <c r="N52" s="16">
        <f>VLOOKUP(A52,'Total de Ações'!A:B,2,0)</f>
        <v>268544014</v>
      </c>
      <c r="O52" s="17">
        <f t="shared" si="3"/>
        <v>-23535874.33</v>
      </c>
      <c r="P52" s="18" t="str">
        <f t="shared" si="4"/>
        <v>Desceu</v>
      </c>
      <c r="Q52" s="18" t="str">
        <f>VLOOKUP(A52,Ticker!A:B,2,0)</f>
        <v>Eletrobras</v>
      </c>
      <c r="R52" s="18" t="str">
        <f>VLOOKUP(Q52,ChatGpt!A:C,2,0)</f>
        <v>Energia</v>
      </c>
      <c r="S52" s="18">
        <f>VLOOKUP(Q52,ChatGpt!A:C,3,0)</f>
        <v>50</v>
      </c>
      <c r="T52" s="18" t="str">
        <f t="shared" si="5"/>
        <v>Entre 50 e 100</v>
      </c>
      <c r="U52" s="18">
        <f t="shared" si="6"/>
        <v>-0.0141</v>
      </c>
      <c r="V52" s="19">
        <f t="shared" si="7"/>
        <v>46.69844812</v>
      </c>
      <c r="W52" s="17">
        <f t="shared" si="8"/>
        <v>-176822300.7</v>
      </c>
      <c r="X52" s="17" t="str">
        <f t="shared" si="9"/>
        <v>Desceu</v>
      </c>
      <c r="Y52" s="20">
        <f t="shared" si="10"/>
        <v>-0.02</v>
      </c>
      <c r="Z52" s="17">
        <f t="shared" si="11"/>
        <v>46.97959184</v>
      </c>
      <c r="AA52" s="17">
        <f t="shared" si="12"/>
        <v>-252321763.4</v>
      </c>
      <c r="AB52" s="17" t="str">
        <f t="shared" si="13"/>
        <v>Desceu</v>
      </c>
      <c r="AC52" s="20">
        <f t="shared" si="14"/>
        <v>-0.02</v>
      </c>
      <c r="AD52" s="21">
        <f t="shared" si="15"/>
        <v>46.97959184</v>
      </c>
      <c r="AE52" s="21">
        <f t="shared" si="16"/>
        <v>-252321763.4</v>
      </c>
      <c r="AF52" s="21" t="str">
        <f t="shared" si="17"/>
        <v>Desceu</v>
      </c>
      <c r="AG52" s="20">
        <f t="shared" si="18"/>
        <v>0.0743</v>
      </c>
      <c r="AH52" s="21">
        <f t="shared" si="19"/>
        <v>42.85581309</v>
      </c>
      <c r="AI52" s="21">
        <f t="shared" si="20"/>
        <v>855094334.8</v>
      </c>
      <c r="AJ52" s="21" t="str">
        <f t="shared" si="21"/>
        <v>Subiu</v>
      </c>
    </row>
    <row r="53">
      <c r="A53" s="10" t="s">
        <v>138</v>
      </c>
      <c r="B53" s="11">
        <v>45317.0</v>
      </c>
      <c r="C53" s="12">
        <v>12.87</v>
      </c>
      <c r="D53" s="13">
        <v>-0.23</v>
      </c>
      <c r="E53" s="13">
        <v>1.42</v>
      </c>
      <c r="F53" s="13">
        <v>-5.44</v>
      </c>
      <c r="G53" s="13">
        <v>-5.44</v>
      </c>
      <c r="H53" s="13">
        <v>6.36</v>
      </c>
      <c r="I53" s="13">
        <v>13.09</v>
      </c>
      <c r="J53" s="13">
        <v>12.84</v>
      </c>
      <c r="K53" s="10" t="s">
        <v>139</v>
      </c>
      <c r="L53" s="14">
        <f t="shared" si="1"/>
        <v>-0.0023</v>
      </c>
      <c r="M53" s="15">
        <f t="shared" si="2"/>
        <v>12.89966924</v>
      </c>
      <c r="N53" s="16">
        <f>VLOOKUP(A53,'Total de Ações'!A:B,2,0)</f>
        <v>1579130168</v>
      </c>
      <c r="O53" s="17">
        <f t="shared" si="3"/>
        <v>-46851590.76</v>
      </c>
      <c r="P53" s="18" t="str">
        <f t="shared" si="4"/>
        <v>Desceu</v>
      </c>
      <c r="Q53" s="18" t="str">
        <f>VLOOKUP(A53,Ticker!A:B,2,0)</f>
        <v>Eneva</v>
      </c>
      <c r="R53" s="18" t="str">
        <f>VLOOKUP(Q53,ChatGpt!A:C,2,0)</f>
        <v>Energia</v>
      </c>
      <c r="S53" s="18">
        <f>VLOOKUP(Q53,ChatGpt!A:C,3,0)</f>
        <v>10</v>
      </c>
      <c r="T53" s="18" t="str">
        <f t="shared" si="5"/>
        <v>Menos de 50</v>
      </c>
      <c r="U53" s="18">
        <f t="shared" si="6"/>
        <v>0.0142</v>
      </c>
      <c r="V53" s="19">
        <f t="shared" si="7"/>
        <v>12.68980477</v>
      </c>
      <c r="W53" s="17">
        <f t="shared" si="8"/>
        <v>284551720.3</v>
      </c>
      <c r="X53" s="17" t="str">
        <f t="shared" si="9"/>
        <v>Subiu</v>
      </c>
      <c r="Y53" s="20">
        <f t="shared" si="10"/>
        <v>-0.0544</v>
      </c>
      <c r="Z53" s="17">
        <f t="shared" si="11"/>
        <v>13.61040609</v>
      </c>
      <c r="AA53" s="17">
        <f t="shared" si="12"/>
        <v>-1169197595</v>
      </c>
      <c r="AB53" s="17" t="str">
        <f t="shared" si="13"/>
        <v>Desceu</v>
      </c>
      <c r="AC53" s="20">
        <f t="shared" si="14"/>
        <v>-0.0544</v>
      </c>
      <c r="AD53" s="21">
        <f t="shared" si="15"/>
        <v>13.61040609</v>
      </c>
      <c r="AE53" s="21">
        <f t="shared" si="16"/>
        <v>-1169197595</v>
      </c>
      <c r="AF53" s="21" t="str">
        <f t="shared" si="17"/>
        <v>Desceu</v>
      </c>
      <c r="AG53" s="20">
        <f t="shared" si="18"/>
        <v>0.0636</v>
      </c>
      <c r="AH53" s="21">
        <f t="shared" si="19"/>
        <v>12.10041369</v>
      </c>
      <c r="AI53" s="21">
        <f t="shared" si="20"/>
        <v>1215276960</v>
      </c>
      <c r="AJ53" s="21" t="str">
        <f t="shared" si="21"/>
        <v>Subiu</v>
      </c>
    </row>
    <row r="54">
      <c r="A54" s="10" t="s">
        <v>140</v>
      </c>
      <c r="B54" s="11">
        <v>45317.0</v>
      </c>
      <c r="C54" s="12">
        <v>33.17</v>
      </c>
      <c r="D54" s="13">
        <v>-0.24</v>
      </c>
      <c r="E54" s="13">
        <v>-0.93</v>
      </c>
      <c r="F54" s="13">
        <v>-10.13</v>
      </c>
      <c r="G54" s="13">
        <v>-10.13</v>
      </c>
      <c r="H54" s="13">
        <v>-11.84</v>
      </c>
      <c r="I54" s="13">
        <v>33.5</v>
      </c>
      <c r="J54" s="13">
        <v>33.04</v>
      </c>
      <c r="K54" s="10" t="s">
        <v>141</v>
      </c>
      <c r="L54" s="14">
        <f t="shared" si="1"/>
        <v>-0.0024</v>
      </c>
      <c r="M54" s="15">
        <f t="shared" si="2"/>
        <v>33.24979952</v>
      </c>
      <c r="N54" s="16">
        <f>VLOOKUP(A54,'Total de Ações'!A:B,2,0)</f>
        <v>1481593024</v>
      </c>
      <c r="O54" s="17">
        <f t="shared" si="3"/>
        <v>-118230410.4</v>
      </c>
      <c r="P54" s="18" t="str">
        <f t="shared" si="4"/>
        <v>Desceu</v>
      </c>
      <c r="Q54" s="18" t="str">
        <f>VLOOKUP(A54,Ticker!A:B,2,0)</f>
        <v>WEG</v>
      </c>
      <c r="R54" s="18" t="str">
        <f>VLOOKUP(Q54,ChatGpt!A:C,2,0)</f>
        <v>Energia</v>
      </c>
      <c r="S54" s="18">
        <f>VLOOKUP(Q54,ChatGpt!A:C,3,0)</f>
        <v>50</v>
      </c>
      <c r="T54" s="18" t="str">
        <f t="shared" si="5"/>
        <v>Entre 50 e 100</v>
      </c>
      <c r="U54" s="18">
        <f t="shared" si="6"/>
        <v>-0.0093</v>
      </c>
      <c r="V54" s="19">
        <f t="shared" si="7"/>
        <v>33.4813768</v>
      </c>
      <c r="W54" s="17">
        <f t="shared" si="8"/>
        <v>-461333701.1</v>
      </c>
      <c r="X54" s="17" t="str">
        <f t="shared" si="9"/>
        <v>Desceu</v>
      </c>
      <c r="Y54" s="20">
        <f t="shared" si="10"/>
        <v>-0.1013</v>
      </c>
      <c r="Z54" s="17">
        <f t="shared" si="11"/>
        <v>36.90886837</v>
      </c>
      <c r="AA54" s="17">
        <f t="shared" si="12"/>
        <v>-5539481288</v>
      </c>
      <c r="AB54" s="17" t="str">
        <f t="shared" si="13"/>
        <v>Desceu</v>
      </c>
      <c r="AC54" s="20">
        <f t="shared" si="14"/>
        <v>-0.1013</v>
      </c>
      <c r="AD54" s="21">
        <f t="shared" si="15"/>
        <v>36.90886837</v>
      </c>
      <c r="AE54" s="21">
        <f t="shared" si="16"/>
        <v>-5539481288</v>
      </c>
      <c r="AF54" s="21" t="str">
        <f t="shared" si="17"/>
        <v>Desceu</v>
      </c>
      <c r="AG54" s="20">
        <f t="shared" si="18"/>
        <v>-0.1184</v>
      </c>
      <c r="AH54" s="21">
        <f t="shared" si="19"/>
        <v>37.62477314</v>
      </c>
      <c r="AI54" s="21">
        <f t="shared" si="20"/>
        <v>-6600160807</v>
      </c>
      <c r="AJ54" s="21" t="str">
        <f t="shared" si="21"/>
        <v>Desceu</v>
      </c>
    </row>
    <row r="55">
      <c r="A55" s="10" t="s">
        <v>142</v>
      </c>
      <c r="B55" s="11">
        <v>45317.0</v>
      </c>
      <c r="C55" s="12">
        <v>19.3</v>
      </c>
      <c r="D55" s="13">
        <v>-0.25</v>
      </c>
      <c r="E55" s="13">
        <v>2.01</v>
      </c>
      <c r="F55" s="13">
        <v>2.55</v>
      </c>
      <c r="G55" s="13">
        <v>2.55</v>
      </c>
      <c r="H55" s="13">
        <v>-10.11</v>
      </c>
      <c r="I55" s="13">
        <v>19.51</v>
      </c>
      <c r="J55" s="13">
        <v>19.1</v>
      </c>
      <c r="K55" s="10" t="s">
        <v>143</v>
      </c>
      <c r="L55" s="14">
        <f t="shared" si="1"/>
        <v>-0.0025</v>
      </c>
      <c r="M55" s="15">
        <f t="shared" si="2"/>
        <v>19.34837093</v>
      </c>
      <c r="N55" s="16">
        <f>VLOOKUP(A55,'Total de Ações'!A:B,2,0)</f>
        <v>195751130</v>
      </c>
      <c r="O55" s="17">
        <f t="shared" si="3"/>
        <v>-9468663.682</v>
      </c>
      <c r="P55" s="18" t="str">
        <f t="shared" si="4"/>
        <v>Desceu</v>
      </c>
      <c r="Q55" s="18" t="str">
        <f>VLOOKUP(A55,Ticker!A:B,2,0)</f>
        <v>SLC Agrícola</v>
      </c>
      <c r="R55" s="18" t="str">
        <f>VLOOKUP(Q55,ChatGpt!A:C,2,0)</f>
        <v>Agricultura</v>
      </c>
      <c r="S55" s="18">
        <f>VLOOKUP(Q55,ChatGpt!A:C,3,0)</f>
        <v>40</v>
      </c>
      <c r="T55" s="18" t="str">
        <f t="shared" si="5"/>
        <v>Menos de 50</v>
      </c>
      <c r="U55" s="18">
        <f t="shared" si="6"/>
        <v>0.0201</v>
      </c>
      <c r="V55" s="19">
        <f t="shared" si="7"/>
        <v>18.91971375</v>
      </c>
      <c r="W55" s="17">
        <f t="shared" si="8"/>
        <v>74441462.47</v>
      </c>
      <c r="X55" s="17" t="str">
        <f t="shared" si="9"/>
        <v>Subiu</v>
      </c>
      <c r="Y55" s="20">
        <f t="shared" si="10"/>
        <v>0.0255</v>
      </c>
      <c r="Z55" s="17">
        <f t="shared" si="11"/>
        <v>18.82008776</v>
      </c>
      <c r="AA55" s="17">
        <f t="shared" si="12"/>
        <v>93943362.88</v>
      </c>
      <c r="AB55" s="17" t="str">
        <f t="shared" si="13"/>
        <v>Subiu</v>
      </c>
      <c r="AC55" s="20">
        <f t="shared" si="14"/>
        <v>0.0255</v>
      </c>
      <c r="AD55" s="21">
        <f t="shared" si="15"/>
        <v>18.82008776</v>
      </c>
      <c r="AE55" s="21">
        <f t="shared" si="16"/>
        <v>93943362.88</v>
      </c>
      <c r="AF55" s="21" t="str">
        <f t="shared" si="17"/>
        <v>Subiu</v>
      </c>
      <c r="AG55" s="20">
        <f t="shared" si="18"/>
        <v>-0.1011</v>
      </c>
      <c r="AH55" s="21">
        <f t="shared" si="19"/>
        <v>21.47068639</v>
      </c>
      <c r="AI55" s="21">
        <f t="shared" si="20"/>
        <v>-424914314.6</v>
      </c>
      <c r="AJ55" s="21" t="str">
        <f t="shared" si="21"/>
        <v>Desceu</v>
      </c>
    </row>
    <row r="56">
      <c r="A56" s="10" t="s">
        <v>144</v>
      </c>
      <c r="B56" s="11">
        <v>45317.0</v>
      </c>
      <c r="C56" s="12">
        <v>24.62</v>
      </c>
      <c r="D56" s="13">
        <v>-0.28</v>
      </c>
      <c r="E56" s="13">
        <v>0.53</v>
      </c>
      <c r="F56" s="13">
        <v>-7.27</v>
      </c>
      <c r="G56" s="13">
        <v>-7.27</v>
      </c>
      <c r="H56" s="13">
        <v>39.82</v>
      </c>
      <c r="I56" s="13">
        <v>24.92</v>
      </c>
      <c r="J56" s="13">
        <v>24.53</v>
      </c>
      <c r="K56" s="10" t="s">
        <v>145</v>
      </c>
      <c r="L56" s="14">
        <f t="shared" si="1"/>
        <v>-0.0028</v>
      </c>
      <c r="M56" s="15">
        <f t="shared" si="2"/>
        <v>24.68912956</v>
      </c>
      <c r="N56" s="16">
        <f>VLOOKUP(A56,'Total de Ações'!A:B,2,0)</f>
        <v>532616595</v>
      </c>
      <c r="O56" s="17">
        <f t="shared" si="3"/>
        <v>-36819552.34</v>
      </c>
      <c r="P56" s="18" t="str">
        <f t="shared" si="4"/>
        <v>Desceu</v>
      </c>
      <c r="Q56" s="18" t="str">
        <f>VLOOKUP(A56,Ticker!A:B,2,0)</f>
        <v>ALOS3</v>
      </c>
      <c r="R56" s="18" t="str">
        <f>VLOOKUP(Q56,ChatGpt!A:C,2,0)</f>
        <v>Telecomunicações</v>
      </c>
      <c r="S56" s="18">
        <f>VLOOKUP(Q56,ChatGpt!A:C,3,0)</f>
        <v>10</v>
      </c>
      <c r="T56" s="18" t="str">
        <f t="shared" si="5"/>
        <v>Menos de 50</v>
      </c>
      <c r="U56" s="18">
        <f t="shared" si="6"/>
        <v>0.0053</v>
      </c>
      <c r="V56" s="19">
        <f t="shared" si="7"/>
        <v>24.49020193</v>
      </c>
      <c r="W56" s="17">
        <f t="shared" si="8"/>
        <v>69132606.2</v>
      </c>
      <c r="X56" s="17" t="str">
        <f t="shared" si="9"/>
        <v>Subiu</v>
      </c>
      <c r="Y56" s="20">
        <f t="shared" si="10"/>
        <v>-0.0727</v>
      </c>
      <c r="Z56" s="17">
        <f t="shared" si="11"/>
        <v>26.5501995</v>
      </c>
      <c r="AA56" s="17">
        <f t="shared" si="12"/>
        <v>-1028056287</v>
      </c>
      <c r="AB56" s="17" t="str">
        <f t="shared" si="13"/>
        <v>Desceu</v>
      </c>
      <c r="AC56" s="20">
        <f t="shared" si="14"/>
        <v>-0.0727</v>
      </c>
      <c r="AD56" s="21">
        <f t="shared" si="15"/>
        <v>26.5501995</v>
      </c>
      <c r="AE56" s="21">
        <f t="shared" si="16"/>
        <v>-1028056287</v>
      </c>
      <c r="AF56" s="21" t="str">
        <f t="shared" si="17"/>
        <v>Desceu</v>
      </c>
      <c r="AG56" s="20">
        <f t="shared" si="18"/>
        <v>0.3982</v>
      </c>
      <c r="AH56" s="21">
        <f t="shared" si="19"/>
        <v>17.6083536</v>
      </c>
      <c r="AI56" s="21">
        <f t="shared" si="20"/>
        <v>3734519232</v>
      </c>
      <c r="AJ56" s="21" t="str">
        <f t="shared" si="21"/>
        <v>Subiu</v>
      </c>
    </row>
    <row r="57">
      <c r="A57" s="10" t="s">
        <v>146</v>
      </c>
      <c r="B57" s="11">
        <v>45317.0</v>
      </c>
      <c r="C57" s="12">
        <v>13.27</v>
      </c>
      <c r="D57" s="13">
        <v>-0.3</v>
      </c>
      <c r="E57" s="13">
        <v>-1.78</v>
      </c>
      <c r="F57" s="13">
        <v>-6.42</v>
      </c>
      <c r="G57" s="13">
        <v>-6.42</v>
      </c>
      <c r="H57" s="13">
        <v>13.59</v>
      </c>
      <c r="I57" s="13">
        <v>13.41</v>
      </c>
      <c r="J57" s="13">
        <v>13.23</v>
      </c>
      <c r="K57" s="10" t="s">
        <v>147</v>
      </c>
      <c r="L57" s="14">
        <f t="shared" si="1"/>
        <v>-0.003</v>
      </c>
      <c r="M57" s="15">
        <f t="shared" si="2"/>
        <v>13.30992979</v>
      </c>
      <c r="N57" s="16">
        <f>VLOOKUP(A57,'Total de Ações'!A:B,2,0)</f>
        <v>995335937</v>
      </c>
      <c r="O57" s="17">
        <f t="shared" si="3"/>
        <v>-39743554.31</v>
      </c>
      <c r="P57" s="18" t="str">
        <f t="shared" si="4"/>
        <v>Desceu</v>
      </c>
      <c r="Q57" s="18" t="str">
        <f>VLOOKUP(A57,Ticker!A:B,2,0)</f>
        <v>Grupo CCR</v>
      </c>
      <c r="R57" s="18" t="str">
        <f>VLOOKUP(Q57,ChatGpt!A:C,2,0)</f>
        <v>Infraestrutura</v>
      </c>
      <c r="S57" s="18">
        <f>VLOOKUP(Q57,ChatGpt!A:C,3,0)</f>
        <v>20</v>
      </c>
      <c r="T57" s="18" t="str">
        <f t="shared" si="5"/>
        <v>Menos de 50</v>
      </c>
      <c r="U57" s="18">
        <f t="shared" si="6"/>
        <v>-0.0178</v>
      </c>
      <c r="V57" s="19">
        <f t="shared" si="7"/>
        <v>13.51048666</v>
      </c>
      <c r="W57" s="17">
        <f t="shared" si="8"/>
        <v>-239365017.6</v>
      </c>
      <c r="X57" s="17" t="str">
        <f t="shared" si="9"/>
        <v>Desceu</v>
      </c>
      <c r="Y57" s="20">
        <f t="shared" si="10"/>
        <v>-0.0642</v>
      </c>
      <c r="Z57" s="17">
        <f t="shared" si="11"/>
        <v>14.18038042</v>
      </c>
      <c r="AA57" s="17">
        <f t="shared" si="12"/>
        <v>-906134351.5</v>
      </c>
      <c r="AB57" s="17" t="str">
        <f t="shared" si="13"/>
        <v>Desceu</v>
      </c>
      <c r="AC57" s="20">
        <f t="shared" si="14"/>
        <v>-0.0642</v>
      </c>
      <c r="AD57" s="21">
        <f t="shared" si="15"/>
        <v>14.18038042</v>
      </c>
      <c r="AE57" s="21">
        <f t="shared" si="16"/>
        <v>-906134351.5</v>
      </c>
      <c r="AF57" s="21" t="str">
        <f t="shared" si="17"/>
        <v>Desceu</v>
      </c>
      <c r="AG57" s="20">
        <f t="shared" si="18"/>
        <v>0.1359</v>
      </c>
      <c r="AH57" s="21">
        <f t="shared" si="19"/>
        <v>11.68236641</v>
      </c>
      <c r="AI57" s="21">
        <f t="shared" si="20"/>
        <v>1580228771</v>
      </c>
      <c r="AJ57" s="21" t="str">
        <f t="shared" si="21"/>
        <v>Subiu</v>
      </c>
    </row>
    <row r="58">
      <c r="A58" s="10" t="s">
        <v>148</v>
      </c>
      <c r="B58" s="11">
        <v>45317.0</v>
      </c>
      <c r="C58" s="12">
        <v>3.03</v>
      </c>
      <c r="D58" s="13">
        <v>-0.32</v>
      </c>
      <c r="E58" s="13">
        <v>-5.02</v>
      </c>
      <c r="F58" s="13">
        <v>-13.18</v>
      </c>
      <c r="G58" s="13">
        <v>-13.18</v>
      </c>
      <c r="H58" s="13">
        <v>37.73</v>
      </c>
      <c r="I58" s="13">
        <v>3.06</v>
      </c>
      <c r="J58" s="13">
        <v>2.97</v>
      </c>
      <c r="K58" s="10" t="s">
        <v>149</v>
      </c>
      <c r="L58" s="14">
        <f t="shared" si="1"/>
        <v>-0.0032</v>
      </c>
      <c r="M58" s="15">
        <f t="shared" si="2"/>
        <v>3.039727127</v>
      </c>
      <c r="N58" s="16">
        <f>VLOOKUP(A58,'Total de Ações'!A:B,2,0)</f>
        <v>1814920980</v>
      </c>
      <c r="O58" s="17">
        <f t="shared" si="3"/>
        <v>-17653966.51</v>
      </c>
      <c r="P58" s="18" t="str">
        <f t="shared" si="4"/>
        <v>Desceu</v>
      </c>
      <c r="Q58" s="18" t="str">
        <f>VLOOKUP(A58,Ticker!A:B,2,0)</f>
        <v>Cogna</v>
      </c>
      <c r="R58" s="18" t="str">
        <f>VLOOKUP(Q58,ChatGpt!A:C,2,0)</f>
        <v>Educação</v>
      </c>
      <c r="S58" s="18">
        <f>VLOOKUP(Q58,ChatGpt!A:C,3,0)</f>
        <v>20</v>
      </c>
      <c r="T58" s="18" t="str">
        <f t="shared" si="5"/>
        <v>Menos de 50</v>
      </c>
      <c r="U58" s="18">
        <f t="shared" si="6"/>
        <v>-0.0502</v>
      </c>
      <c r="V58" s="19">
        <f t="shared" si="7"/>
        <v>3.190145294</v>
      </c>
      <c r="W58" s="17">
        <f t="shared" si="8"/>
        <v>-290651053.5</v>
      </c>
      <c r="X58" s="17" t="str">
        <f t="shared" si="9"/>
        <v>Desceu</v>
      </c>
      <c r="Y58" s="20">
        <f t="shared" si="10"/>
        <v>-0.1318</v>
      </c>
      <c r="Z58" s="17">
        <f t="shared" si="11"/>
        <v>3.489979267</v>
      </c>
      <c r="AA58" s="17">
        <f t="shared" si="12"/>
        <v>-834826022.9</v>
      </c>
      <c r="AB58" s="17" t="str">
        <f t="shared" si="13"/>
        <v>Desceu</v>
      </c>
      <c r="AC58" s="20">
        <f t="shared" si="14"/>
        <v>-0.1318</v>
      </c>
      <c r="AD58" s="21">
        <f t="shared" si="15"/>
        <v>3.489979267</v>
      </c>
      <c r="AE58" s="21">
        <f t="shared" si="16"/>
        <v>-834826022.9</v>
      </c>
      <c r="AF58" s="21" t="str">
        <f t="shared" si="17"/>
        <v>Desceu</v>
      </c>
      <c r="AG58" s="20">
        <f t="shared" si="18"/>
        <v>0.3773</v>
      </c>
      <c r="AH58" s="21">
        <f t="shared" si="19"/>
        <v>2.199956437</v>
      </c>
      <c r="AI58" s="21">
        <f t="shared" si="20"/>
        <v>1506463478</v>
      </c>
      <c r="AJ58" s="21" t="str">
        <f t="shared" si="21"/>
        <v>Subiu</v>
      </c>
    </row>
    <row r="59">
      <c r="A59" s="10" t="s">
        <v>150</v>
      </c>
      <c r="B59" s="11">
        <v>45317.0</v>
      </c>
      <c r="C59" s="12">
        <v>26.12</v>
      </c>
      <c r="D59" s="13">
        <v>-0.41</v>
      </c>
      <c r="E59" s="13">
        <v>-1.25</v>
      </c>
      <c r="F59" s="13">
        <v>-1.43</v>
      </c>
      <c r="G59" s="13">
        <v>-1.43</v>
      </c>
      <c r="H59" s="13">
        <v>22.81</v>
      </c>
      <c r="I59" s="13">
        <v>26.4</v>
      </c>
      <c r="J59" s="13">
        <v>26.09</v>
      </c>
      <c r="K59" s="10" t="s">
        <v>151</v>
      </c>
      <c r="L59" s="14">
        <f t="shared" si="1"/>
        <v>-0.0041</v>
      </c>
      <c r="M59" s="15">
        <f t="shared" si="2"/>
        <v>26.22753288</v>
      </c>
      <c r="N59" s="16">
        <f>VLOOKUP(A59,'Total de Ações'!A:B,2,0)</f>
        <v>395801044</v>
      </c>
      <c r="O59" s="17">
        <f t="shared" si="3"/>
        <v>-42561628.08</v>
      </c>
      <c r="P59" s="18" t="str">
        <f t="shared" si="4"/>
        <v>Desceu</v>
      </c>
      <c r="Q59" s="18" t="str">
        <f>VLOOKUP(A59,Ticker!A:B,2,0)</f>
        <v>Transmissão Paulista</v>
      </c>
      <c r="R59" s="18" t="str">
        <f>VLOOKUP(Q59,ChatGpt!A:C,2,0)</f>
        <v>Energia</v>
      </c>
      <c r="S59" s="18">
        <f>VLOOKUP(Q59,ChatGpt!A:C,3,0)</f>
        <v>10</v>
      </c>
      <c r="T59" s="18" t="str">
        <f t="shared" si="5"/>
        <v>Menos de 50</v>
      </c>
      <c r="U59" s="18">
        <f t="shared" si="6"/>
        <v>-0.0125</v>
      </c>
      <c r="V59" s="19">
        <f t="shared" si="7"/>
        <v>26.45063291</v>
      </c>
      <c r="W59" s="17">
        <f t="shared" si="8"/>
        <v>-130864851.5</v>
      </c>
      <c r="X59" s="17" t="str">
        <f t="shared" si="9"/>
        <v>Desceu</v>
      </c>
      <c r="Y59" s="20">
        <f t="shared" si="10"/>
        <v>-0.0143</v>
      </c>
      <c r="Z59" s="17">
        <f t="shared" si="11"/>
        <v>26.49893477</v>
      </c>
      <c r="AA59" s="17">
        <f t="shared" si="12"/>
        <v>-149982776.5</v>
      </c>
      <c r="AB59" s="17" t="str">
        <f t="shared" si="13"/>
        <v>Desceu</v>
      </c>
      <c r="AC59" s="20">
        <f t="shared" si="14"/>
        <v>-0.0143</v>
      </c>
      <c r="AD59" s="21">
        <f t="shared" si="15"/>
        <v>26.49893477</v>
      </c>
      <c r="AE59" s="21">
        <f t="shared" si="16"/>
        <v>-149982776.5</v>
      </c>
      <c r="AF59" s="21" t="str">
        <f t="shared" si="17"/>
        <v>Desceu</v>
      </c>
      <c r="AG59" s="20">
        <f t="shared" si="18"/>
        <v>0.2281</v>
      </c>
      <c r="AH59" s="21">
        <f t="shared" si="19"/>
        <v>21.26862633</v>
      </c>
      <c r="AI59" s="21">
        <f t="shared" si="20"/>
        <v>1920178762</v>
      </c>
      <c r="AJ59" s="21" t="str">
        <f t="shared" si="21"/>
        <v>Subiu</v>
      </c>
    </row>
    <row r="60">
      <c r="A60" s="10" t="s">
        <v>152</v>
      </c>
      <c r="B60" s="11">
        <v>45317.0</v>
      </c>
      <c r="C60" s="12">
        <v>41.04</v>
      </c>
      <c r="D60" s="13">
        <v>-0.46</v>
      </c>
      <c r="E60" s="13">
        <v>0.56</v>
      </c>
      <c r="F60" s="13">
        <v>-9.46</v>
      </c>
      <c r="G60" s="13">
        <v>-9.46</v>
      </c>
      <c r="H60" s="13">
        <v>13.41</v>
      </c>
      <c r="I60" s="13">
        <v>41.59</v>
      </c>
      <c r="J60" s="13">
        <v>40.92</v>
      </c>
      <c r="K60" s="10" t="s">
        <v>153</v>
      </c>
      <c r="L60" s="14">
        <f t="shared" si="1"/>
        <v>-0.0046</v>
      </c>
      <c r="M60" s="15">
        <f t="shared" si="2"/>
        <v>41.22965642</v>
      </c>
      <c r="N60" s="16">
        <f>VLOOKUP(A60,'Total de Ações'!A:B,2,0)</f>
        <v>255236961</v>
      </c>
      <c r="O60" s="17">
        <f t="shared" si="3"/>
        <v>-48407328.15</v>
      </c>
      <c r="P60" s="18" t="str">
        <f t="shared" si="4"/>
        <v>Desceu</v>
      </c>
      <c r="Q60" s="18" t="str">
        <f>VLOOKUP(A60,Ticker!A:B,2,0)</f>
        <v>Engie</v>
      </c>
      <c r="R60" s="18" t="str">
        <f>VLOOKUP(Q60,ChatGpt!A:C,2,0)</f>
        <v>Energia</v>
      </c>
      <c r="S60" s="18">
        <f>VLOOKUP(Q60,ChatGpt!A:C,3,0)</f>
        <v>20</v>
      </c>
      <c r="T60" s="18" t="str">
        <f t="shared" si="5"/>
        <v>Menos de 50</v>
      </c>
      <c r="U60" s="18">
        <f t="shared" si="6"/>
        <v>0.0056</v>
      </c>
      <c r="V60" s="19">
        <f t="shared" si="7"/>
        <v>40.81145585</v>
      </c>
      <c r="W60" s="17">
        <f t="shared" si="8"/>
        <v>58332915</v>
      </c>
      <c r="X60" s="17" t="str">
        <f t="shared" si="9"/>
        <v>Subiu</v>
      </c>
      <c r="Y60" s="20">
        <f t="shared" si="10"/>
        <v>-0.0946</v>
      </c>
      <c r="Z60" s="17">
        <f t="shared" si="11"/>
        <v>45.32803181</v>
      </c>
      <c r="AA60" s="17">
        <f t="shared" si="12"/>
        <v>-1094464208</v>
      </c>
      <c r="AB60" s="17" t="str">
        <f t="shared" si="13"/>
        <v>Desceu</v>
      </c>
      <c r="AC60" s="20">
        <f t="shared" si="14"/>
        <v>-0.0946</v>
      </c>
      <c r="AD60" s="21">
        <f t="shared" si="15"/>
        <v>45.32803181</v>
      </c>
      <c r="AE60" s="21">
        <f t="shared" si="16"/>
        <v>-1094464208</v>
      </c>
      <c r="AF60" s="21" t="str">
        <f t="shared" si="17"/>
        <v>Desceu</v>
      </c>
      <c r="AG60" s="20">
        <f t="shared" si="18"/>
        <v>0.1341</v>
      </c>
      <c r="AH60" s="21">
        <f t="shared" si="19"/>
        <v>36.18728507</v>
      </c>
      <c r="AI60" s="21">
        <f t="shared" si="20"/>
        <v>1238592211</v>
      </c>
      <c r="AJ60" s="21" t="str">
        <f t="shared" si="21"/>
        <v>Subiu</v>
      </c>
    </row>
    <row r="61">
      <c r="A61" s="10" t="s">
        <v>154</v>
      </c>
      <c r="B61" s="11">
        <v>45317.0</v>
      </c>
      <c r="C61" s="12">
        <v>23.23</v>
      </c>
      <c r="D61" s="13">
        <v>-0.47</v>
      </c>
      <c r="E61" s="13">
        <v>2.43</v>
      </c>
      <c r="F61" s="13">
        <v>2.07</v>
      </c>
      <c r="G61" s="13">
        <v>2.07</v>
      </c>
      <c r="H61" s="13">
        <v>50.65</v>
      </c>
      <c r="I61" s="13">
        <v>23.4</v>
      </c>
      <c r="J61" s="13">
        <v>22.97</v>
      </c>
      <c r="K61" s="10" t="s">
        <v>155</v>
      </c>
      <c r="L61" s="14">
        <f t="shared" si="1"/>
        <v>-0.0047</v>
      </c>
      <c r="M61" s="15">
        <f t="shared" si="2"/>
        <v>23.33969657</v>
      </c>
      <c r="N61" s="16">
        <f>VLOOKUP(A61,'Total de Ações'!A:B,2,0)</f>
        <v>1114412532</v>
      </c>
      <c r="O61" s="17">
        <f t="shared" si="3"/>
        <v>-122247236.7</v>
      </c>
      <c r="P61" s="18" t="str">
        <f t="shared" si="4"/>
        <v>Desceu</v>
      </c>
      <c r="Q61" s="18" t="str">
        <f>VLOOKUP(A61,Ticker!A:B,2,0)</f>
        <v>Vibra Energia</v>
      </c>
      <c r="R61" s="18" t="str">
        <f>VLOOKUP(Q61,ChatGpt!A:C,2,0)</f>
        <v>Energia</v>
      </c>
      <c r="S61" s="18">
        <f>VLOOKUP(Q61,ChatGpt!A:C,3,0)</f>
        <v>10</v>
      </c>
      <c r="T61" s="18" t="str">
        <f t="shared" si="5"/>
        <v>Menos de 50</v>
      </c>
      <c r="U61" s="18">
        <f t="shared" si="6"/>
        <v>0.0243</v>
      </c>
      <c r="V61" s="19">
        <f t="shared" si="7"/>
        <v>22.67890267</v>
      </c>
      <c r="W61" s="17">
        <f t="shared" si="8"/>
        <v>614149776.2</v>
      </c>
      <c r="X61" s="17" t="str">
        <f t="shared" si="9"/>
        <v>Subiu</v>
      </c>
      <c r="Y61" s="20">
        <f t="shared" si="10"/>
        <v>0.0207</v>
      </c>
      <c r="Z61" s="17">
        <f t="shared" si="11"/>
        <v>22.75889096</v>
      </c>
      <c r="AA61" s="17">
        <f t="shared" si="12"/>
        <v>525009821.3</v>
      </c>
      <c r="AB61" s="17" t="str">
        <f t="shared" si="13"/>
        <v>Subiu</v>
      </c>
      <c r="AC61" s="20">
        <f t="shared" si="14"/>
        <v>0.0207</v>
      </c>
      <c r="AD61" s="21">
        <f t="shared" si="15"/>
        <v>22.75889096</v>
      </c>
      <c r="AE61" s="21">
        <f t="shared" si="16"/>
        <v>525009821.3</v>
      </c>
      <c r="AF61" s="21" t="str">
        <f t="shared" si="17"/>
        <v>Subiu</v>
      </c>
      <c r="AG61" s="20">
        <f t="shared" si="18"/>
        <v>0.5065</v>
      </c>
      <c r="AH61" s="21">
        <f t="shared" si="19"/>
        <v>15.41984733</v>
      </c>
      <c r="AI61" s="21">
        <f t="shared" si="20"/>
        <v>8703732014</v>
      </c>
      <c r="AJ61" s="21" t="str">
        <f t="shared" si="21"/>
        <v>Subiu</v>
      </c>
    </row>
    <row r="62">
      <c r="A62" s="10" t="s">
        <v>156</v>
      </c>
      <c r="B62" s="11">
        <v>45317.0</v>
      </c>
      <c r="C62" s="12">
        <v>40.65</v>
      </c>
      <c r="D62" s="13">
        <v>-0.65</v>
      </c>
      <c r="E62" s="13">
        <v>5.45</v>
      </c>
      <c r="F62" s="13">
        <v>-8.24</v>
      </c>
      <c r="G62" s="13">
        <v>-8.24</v>
      </c>
      <c r="H62" s="13">
        <v>73.5</v>
      </c>
      <c r="I62" s="13">
        <v>41.4</v>
      </c>
      <c r="J62" s="13">
        <v>40.09</v>
      </c>
      <c r="K62" s="10" t="s">
        <v>157</v>
      </c>
      <c r="L62" s="14">
        <f t="shared" si="1"/>
        <v>-0.0065</v>
      </c>
      <c r="M62" s="15">
        <f t="shared" si="2"/>
        <v>40.9159537</v>
      </c>
      <c r="N62" s="16">
        <f>VLOOKUP(A62,'Total de Ações'!A:B,2,0)</f>
        <v>81838843</v>
      </c>
      <c r="O62" s="17">
        <f t="shared" si="3"/>
        <v>-21765343.02</v>
      </c>
      <c r="P62" s="18" t="str">
        <f t="shared" si="4"/>
        <v>Desceu</v>
      </c>
      <c r="Q62" s="18" t="str">
        <f>VLOOKUP(A62,Ticker!A:B,2,0)</f>
        <v>IRB Brasil RE</v>
      </c>
      <c r="R62" s="18" t="str">
        <f>VLOOKUP(Q62,ChatGpt!A:C,2,0)</f>
        <v>Seguros</v>
      </c>
      <c r="S62" s="18">
        <f>VLOOKUP(Q62,ChatGpt!A:C,3,0)</f>
        <v>80</v>
      </c>
      <c r="T62" s="18" t="str">
        <f t="shared" si="5"/>
        <v>Entre 50 e 100</v>
      </c>
      <c r="U62" s="18">
        <f t="shared" si="6"/>
        <v>0.0545</v>
      </c>
      <c r="V62" s="19">
        <f t="shared" si="7"/>
        <v>38.54907539</v>
      </c>
      <c r="W62" s="17">
        <f t="shared" si="8"/>
        <v>171937239.2</v>
      </c>
      <c r="X62" s="17" t="str">
        <f t="shared" si="9"/>
        <v>Subiu</v>
      </c>
      <c r="Y62" s="20">
        <f t="shared" si="10"/>
        <v>-0.0824</v>
      </c>
      <c r="Z62" s="17">
        <f t="shared" si="11"/>
        <v>44.30034874</v>
      </c>
      <c r="AA62" s="17">
        <f t="shared" si="12"/>
        <v>-298740317.1</v>
      </c>
      <c r="AB62" s="17" t="str">
        <f t="shared" si="13"/>
        <v>Desceu</v>
      </c>
      <c r="AC62" s="20">
        <f t="shared" si="14"/>
        <v>-0.0824</v>
      </c>
      <c r="AD62" s="21">
        <f t="shared" si="15"/>
        <v>44.30034874</v>
      </c>
      <c r="AE62" s="21">
        <f t="shared" si="16"/>
        <v>-298740317.1</v>
      </c>
      <c r="AF62" s="21" t="str">
        <f t="shared" si="17"/>
        <v>Desceu</v>
      </c>
      <c r="AG62" s="20">
        <f t="shared" si="18"/>
        <v>0.735</v>
      </c>
      <c r="AH62" s="21">
        <f t="shared" si="19"/>
        <v>23.42939481</v>
      </c>
      <c r="AI62" s="21">
        <f t="shared" si="20"/>
        <v>1409314404</v>
      </c>
      <c r="AJ62" s="21" t="str">
        <f t="shared" si="21"/>
        <v>Subiu</v>
      </c>
    </row>
    <row r="63">
      <c r="A63" s="10" t="s">
        <v>158</v>
      </c>
      <c r="B63" s="11">
        <v>45317.0</v>
      </c>
      <c r="C63" s="12">
        <v>40.86</v>
      </c>
      <c r="D63" s="13">
        <v>-0.65</v>
      </c>
      <c r="E63" s="13">
        <v>-2.04</v>
      </c>
      <c r="F63" s="13">
        <v>-3.7</v>
      </c>
      <c r="G63" s="13">
        <v>-3.7</v>
      </c>
      <c r="H63" s="13">
        <v>-3.64</v>
      </c>
      <c r="I63" s="13">
        <v>41.44</v>
      </c>
      <c r="J63" s="13">
        <v>40.86</v>
      </c>
      <c r="K63" s="10" t="s">
        <v>159</v>
      </c>
      <c r="L63" s="14">
        <f t="shared" si="1"/>
        <v>-0.0065</v>
      </c>
      <c r="M63" s="15">
        <f t="shared" si="2"/>
        <v>41.12732763</v>
      </c>
      <c r="N63" s="16">
        <f>VLOOKUP(A63,'Total de Ações'!A:B,2,0)</f>
        <v>1980568384</v>
      </c>
      <c r="O63" s="17">
        <f t="shared" si="3"/>
        <v>-529460651.3</v>
      </c>
      <c r="P63" s="18" t="str">
        <f t="shared" si="4"/>
        <v>Desceu</v>
      </c>
      <c r="Q63" s="18" t="str">
        <f>VLOOKUP(A63,Ticker!A:B,2,0)</f>
        <v>Eletrobras</v>
      </c>
      <c r="R63" s="18" t="str">
        <f>VLOOKUP(Q63,ChatGpt!A:C,2,0)</f>
        <v>Energia</v>
      </c>
      <c r="S63" s="18">
        <f>VLOOKUP(Q63,ChatGpt!A:C,3,0)</f>
        <v>50</v>
      </c>
      <c r="T63" s="18" t="str">
        <f t="shared" si="5"/>
        <v>Entre 50 e 100</v>
      </c>
      <c r="U63" s="18">
        <f t="shared" si="6"/>
        <v>-0.0204</v>
      </c>
      <c r="V63" s="19">
        <f t="shared" si="7"/>
        <v>41.71090241</v>
      </c>
      <c r="W63" s="17">
        <f t="shared" si="8"/>
        <v>-1685270409</v>
      </c>
      <c r="X63" s="17" t="str">
        <f t="shared" si="9"/>
        <v>Desceu</v>
      </c>
      <c r="Y63" s="20">
        <f t="shared" si="10"/>
        <v>-0.037</v>
      </c>
      <c r="Z63" s="17">
        <f t="shared" si="11"/>
        <v>42.42990654</v>
      </c>
      <c r="AA63" s="17">
        <f t="shared" si="12"/>
        <v>-3109307263</v>
      </c>
      <c r="AB63" s="17" t="str">
        <f t="shared" si="13"/>
        <v>Desceu</v>
      </c>
      <c r="AC63" s="20">
        <f t="shared" si="14"/>
        <v>-0.037</v>
      </c>
      <c r="AD63" s="21">
        <f t="shared" si="15"/>
        <v>42.42990654</v>
      </c>
      <c r="AE63" s="21">
        <f t="shared" si="16"/>
        <v>-3109307263</v>
      </c>
      <c r="AF63" s="21" t="str">
        <f t="shared" si="17"/>
        <v>Desceu</v>
      </c>
      <c r="AG63" s="20">
        <f t="shared" si="18"/>
        <v>-0.0364</v>
      </c>
      <c r="AH63" s="21">
        <f t="shared" si="19"/>
        <v>42.40348692</v>
      </c>
      <c r="AI63" s="21">
        <f t="shared" si="20"/>
        <v>-3056981403</v>
      </c>
      <c r="AJ63" s="21" t="str">
        <f t="shared" si="21"/>
        <v>Desceu</v>
      </c>
    </row>
    <row r="64">
      <c r="A64" s="10" t="s">
        <v>160</v>
      </c>
      <c r="B64" s="11">
        <v>45317.0</v>
      </c>
      <c r="C64" s="12">
        <v>3.4</v>
      </c>
      <c r="D64" s="13">
        <v>-0.87</v>
      </c>
      <c r="E64" s="13">
        <v>-4.23</v>
      </c>
      <c r="F64" s="13">
        <v>-13.92</v>
      </c>
      <c r="G64" s="13">
        <v>-13.92</v>
      </c>
      <c r="H64" s="13">
        <v>-46.63</v>
      </c>
      <c r="I64" s="13">
        <v>3.47</v>
      </c>
      <c r="J64" s="13">
        <v>3.35</v>
      </c>
      <c r="K64" s="10" t="s">
        <v>161</v>
      </c>
      <c r="L64" s="14">
        <f t="shared" si="1"/>
        <v>-0.0087</v>
      </c>
      <c r="M64" s="15">
        <f t="shared" si="2"/>
        <v>3.429839605</v>
      </c>
      <c r="N64" s="16">
        <f>VLOOKUP(A64,'Total de Ações'!A:B,2,0)</f>
        <v>309729428</v>
      </c>
      <c r="O64" s="17">
        <f t="shared" si="3"/>
        <v>-9242203.652</v>
      </c>
      <c r="P64" s="18" t="str">
        <f t="shared" si="4"/>
        <v>Desceu</v>
      </c>
      <c r="Q64" s="18" t="str">
        <f>VLOOKUP(A64,Ticker!A:B,2,0)</f>
        <v>Petz</v>
      </c>
      <c r="R64" s="18" t="str">
        <f>VLOOKUP(Q64,ChatGpt!A:C,2,0)</f>
        <v>Varejo</v>
      </c>
      <c r="S64" s="22">
        <v>9.0</v>
      </c>
      <c r="T64" s="18" t="str">
        <f t="shared" si="5"/>
        <v>Menos de 50</v>
      </c>
      <c r="U64" s="18">
        <f t="shared" si="6"/>
        <v>-0.0423</v>
      </c>
      <c r="V64" s="19">
        <f t="shared" si="7"/>
        <v>3.550172288</v>
      </c>
      <c r="W64" s="17">
        <f t="shared" si="8"/>
        <v>-46512776.79</v>
      </c>
      <c r="X64" s="17" t="str">
        <f t="shared" si="9"/>
        <v>Desceu</v>
      </c>
      <c r="Y64" s="20">
        <f t="shared" si="10"/>
        <v>-0.1392</v>
      </c>
      <c r="Z64" s="17">
        <f t="shared" si="11"/>
        <v>3.949814126</v>
      </c>
      <c r="AA64" s="17">
        <f t="shared" si="12"/>
        <v>-170293614.9</v>
      </c>
      <c r="AB64" s="17" t="str">
        <f t="shared" si="13"/>
        <v>Desceu</v>
      </c>
      <c r="AC64" s="20">
        <f t="shared" si="14"/>
        <v>-0.1392</v>
      </c>
      <c r="AD64" s="21">
        <f t="shared" si="15"/>
        <v>3.949814126</v>
      </c>
      <c r="AE64" s="21">
        <f t="shared" si="16"/>
        <v>-170293614.9</v>
      </c>
      <c r="AF64" s="21" t="str">
        <f t="shared" si="17"/>
        <v>Desceu</v>
      </c>
      <c r="AG64" s="20">
        <f t="shared" si="18"/>
        <v>-0.4663</v>
      </c>
      <c r="AH64" s="21">
        <f t="shared" si="19"/>
        <v>6.370620199</v>
      </c>
      <c r="AI64" s="21">
        <f t="shared" si="20"/>
        <v>-920088494.9</v>
      </c>
      <c r="AJ64" s="21" t="str">
        <f t="shared" si="21"/>
        <v>Desceu</v>
      </c>
    </row>
    <row r="65">
      <c r="A65" s="10" t="s">
        <v>162</v>
      </c>
      <c r="B65" s="11">
        <v>45317.0</v>
      </c>
      <c r="C65" s="12">
        <v>15.91</v>
      </c>
      <c r="D65" s="13">
        <v>-0.93</v>
      </c>
      <c r="E65" s="13">
        <v>-2.39</v>
      </c>
      <c r="F65" s="13">
        <v>-14.92</v>
      </c>
      <c r="G65" s="13">
        <v>-14.92</v>
      </c>
      <c r="H65" s="13">
        <v>8.93</v>
      </c>
      <c r="I65" s="13">
        <v>16.31</v>
      </c>
      <c r="J65" s="13">
        <v>15.85</v>
      </c>
      <c r="K65" s="10" t="s">
        <v>163</v>
      </c>
      <c r="L65" s="14">
        <f t="shared" si="1"/>
        <v>-0.0093</v>
      </c>
      <c r="M65" s="15">
        <f t="shared" si="2"/>
        <v>16.05935197</v>
      </c>
      <c r="N65" s="16">
        <f>VLOOKUP(A65,'Total de Ações'!A:B,2,0)</f>
        <v>91514307</v>
      </c>
      <c r="O65" s="17">
        <f t="shared" si="3"/>
        <v>-13667842.34</v>
      </c>
      <c r="P65" s="18" t="str">
        <f t="shared" si="4"/>
        <v>Desceu</v>
      </c>
      <c r="Q65" s="18" t="str">
        <f>VLOOKUP(A65,Ticker!A:B,2,0)</f>
        <v>EZTEC</v>
      </c>
      <c r="R65" s="18" t="str">
        <f>VLOOKUP(Q65,ChatGpt!A:C,2,0)</f>
        <v>Construção Civil</v>
      </c>
      <c r="S65" s="18">
        <f>VLOOKUP(Q65,ChatGpt!A:C,3,0)</f>
        <v>40</v>
      </c>
      <c r="T65" s="18" t="str">
        <f t="shared" si="5"/>
        <v>Menos de 50</v>
      </c>
      <c r="U65" s="18">
        <f t="shared" si="6"/>
        <v>-0.0239</v>
      </c>
      <c r="V65" s="19">
        <f t="shared" si="7"/>
        <v>16.29955947</v>
      </c>
      <c r="W65" s="17">
        <f t="shared" si="8"/>
        <v>-35650265.06</v>
      </c>
      <c r="X65" s="17" t="str">
        <f t="shared" si="9"/>
        <v>Desceu</v>
      </c>
      <c r="Y65" s="20">
        <f t="shared" si="10"/>
        <v>-0.1492</v>
      </c>
      <c r="Z65" s="17">
        <f t="shared" si="11"/>
        <v>18.70004701</v>
      </c>
      <c r="AA65" s="17">
        <f t="shared" si="12"/>
        <v>-255329219</v>
      </c>
      <c r="AB65" s="17" t="str">
        <f t="shared" si="13"/>
        <v>Desceu</v>
      </c>
      <c r="AC65" s="20">
        <f t="shared" si="14"/>
        <v>-0.1492</v>
      </c>
      <c r="AD65" s="21">
        <f t="shared" si="15"/>
        <v>18.70004701</v>
      </c>
      <c r="AE65" s="21">
        <f t="shared" si="16"/>
        <v>-255329219</v>
      </c>
      <c r="AF65" s="21" t="str">
        <f t="shared" si="17"/>
        <v>Desceu</v>
      </c>
      <c r="AG65" s="20">
        <f t="shared" si="18"/>
        <v>0.0893</v>
      </c>
      <c r="AH65" s="21">
        <f t="shared" si="19"/>
        <v>14.60571009</v>
      </c>
      <c r="AI65" s="21">
        <f t="shared" si="20"/>
        <v>119361187.3</v>
      </c>
      <c r="AJ65" s="21" t="str">
        <f t="shared" si="21"/>
        <v>Subiu</v>
      </c>
    </row>
    <row r="66">
      <c r="A66" s="10" t="s">
        <v>164</v>
      </c>
      <c r="B66" s="11">
        <v>45317.0</v>
      </c>
      <c r="C66" s="12">
        <v>16.49</v>
      </c>
      <c r="D66" s="13">
        <v>-1.07</v>
      </c>
      <c r="E66" s="13">
        <v>1.04</v>
      </c>
      <c r="F66" s="13">
        <v>-8.59</v>
      </c>
      <c r="G66" s="13">
        <v>-8.59</v>
      </c>
      <c r="H66" s="13">
        <v>17.16</v>
      </c>
      <c r="I66" s="13">
        <v>16.71</v>
      </c>
      <c r="J66" s="13">
        <v>16.4</v>
      </c>
      <c r="K66" s="10" t="s">
        <v>107</v>
      </c>
      <c r="L66" s="14">
        <f t="shared" si="1"/>
        <v>-0.0107</v>
      </c>
      <c r="M66" s="15">
        <f t="shared" si="2"/>
        <v>16.66835136</v>
      </c>
      <c r="N66" s="16">
        <f>VLOOKUP(A66,'Total de Ações'!A:B,2,0)</f>
        <v>240822651</v>
      </c>
      <c r="O66" s="17">
        <f t="shared" si="3"/>
        <v>-42951047.22</v>
      </c>
      <c r="P66" s="18" t="str">
        <f t="shared" si="4"/>
        <v>Desceu</v>
      </c>
      <c r="Q66" s="18" t="str">
        <f>VLOOKUP(A66,Ticker!A:B,2,0)</f>
        <v>Fleury</v>
      </c>
      <c r="R66" s="18" t="str">
        <f>VLOOKUP(Q66,ChatGpt!A:C,2,0)</f>
        <v>Saúde</v>
      </c>
      <c r="S66" s="18">
        <f>VLOOKUP(Q66,ChatGpt!A:C,3,0)</f>
        <v>50</v>
      </c>
      <c r="T66" s="18" t="str">
        <f t="shared" si="5"/>
        <v>Entre 50 e 100</v>
      </c>
      <c r="U66" s="18">
        <f t="shared" si="6"/>
        <v>0.0104</v>
      </c>
      <c r="V66" s="19">
        <f t="shared" si="7"/>
        <v>16.3202692</v>
      </c>
      <c r="W66" s="17">
        <f t="shared" si="8"/>
        <v>40875021.14</v>
      </c>
      <c r="X66" s="17" t="str">
        <f t="shared" si="9"/>
        <v>Subiu</v>
      </c>
      <c r="Y66" s="20">
        <f t="shared" si="10"/>
        <v>-0.0859</v>
      </c>
      <c r="Z66" s="17">
        <f t="shared" si="11"/>
        <v>18.03960179</v>
      </c>
      <c r="AA66" s="17">
        <f t="shared" si="12"/>
        <v>-373179212.1</v>
      </c>
      <c r="AB66" s="17" t="str">
        <f t="shared" si="13"/>
        <v>Desceu</v>
      </c>
      <c r="AC66" s="20">
        <f t="shared" si="14"/>
        <v>-0.0859</v>
      </c>
      <c r="AD66" s="21">
        <f t="shared" si="15"/>
        <v>18.03960179</v>
      </c>
      <c r="AE66" s="21">
        <f t="shared" si="16"/>
        <v>-373179212.1</v>
      </c>
      <c r="AF66" s="21" t="str">
        <f t="shared" si="17"/>
        <v>Desceu</v>
      </c>
      <c r="AG66" s="20">
        <f t="shared" si="18"/>
        <v>0.1716</v>
      </c>
      <c r="AH66" s="21">
        <f t="shared" si="19"/>
        <v>14.07476955</v>
      </c>
      <c r="AI66" s="21">
        <f t="shared" si="20"/>
        <v>581642200.7</v>
      </c>
      <c r="AJ66" s="21" t="str">
        <f t="shared" si="21"/>
        <v>Subiu</v>
      </c>
    </row>
    <row r="67">
      <c r="A67" s="10" t="s">
        <v>165</v>
      </c>
      <c r="B67" s="11">
        <v>45317.0</v>
      </c>
      <c r="C67" s="12">
        <v>6.95</v>
      </c>
      <c r="D67" s="13">
        <v>-1.27</v>
      </c>
      <c r="E67" s="13">
        <v>-0.43</v>
      </c>
      <c r="F67" s="13">
        <v>-6.71</v>
      </c>
      <c r="G67" s="13">
        <v>-6.71</v>
      </c>
      <c r="H67" s="13">
        <v>-30.01</v>
      </c>
      <c r="I67" s="13">
        <v>7.14</v>
      </c>
      <c r="J67" s="13">
        <v>6.87</v>
      </c>
      <c r="K67" s="10" t="s">
        <v>166</v>
      </c>
      <c r="L67" s="14">
        <f t="shared" si="1"/>
        <v>-0.0127</v>
      </c>
      <c r="M67" s="15">
        <f t="shared" si="2"/>
        <v>7.039400385</v>
      </c>
      <c r="N67" s="16">
        <f>VLOOKUP(A67,'Total de Ações'!A:B,2,0)</f>
        <v>496029967</v>
      </c>
      <c r="O67" s="17">
        <f t="shared" si="3"/>
        <v>-44345269.97</v>
      </c>
      <c r="P67" s="18" t="str">
        <f t="shared" si="4"/>
        <v>Desceu</v>
      </c>
      <c r="Q67" s="18" t="str">
        <f>VLOOKUP(A67,Ticker!A:B,2,0)</f>
        <v>Grupo Soma</v>
      </c>
      <c r="R67" s="18" t="str">
        <f>VLOOKUP(Q67,ChatGpt!A:C,2,0)</f>
        <v>Varejo</v>
      </c>
      <c r="S67" s="18">
        <f>VLOOKUP(Q67,ChatGpt!A:C,3,0)</f>
        <v>20</v>
      </c>
      <c r="T67" s="18" t="str">
        <f t="shared" si="5"/>
        <v>Menos de 50</v>
      </c>
      <c r="U67" s="18">
        <f t="shared" si="6"/>
        <v>-0.0043</v>
      </c>
      <c r="V67" s="19">
        <f t="shared" si="7"/>
        <v>6.98001406</v>
      </c>
      <c r="W67" s="17">
        <f t="shared" si="8"/>
        <v>-14887873.42</v>
      </c>
      <c r="X67" s="17" t="str">
        <f t="shared" si="9"/>
        <v>Desceu</v>
      </c>
      <c r="Y67" s="20">
        <f t="shared" si="10"/>
        <v>-0.0671</v>
      </c>
      <c r="Z67" s="17">
        <f t="shared" si="11"/>
        <v>7.449887448</v>
      </c>
      <c r="AA67" s="17">
        <f t="shared" si="12"/>
        <v>-247959154.2</v>
      </c>
      <c r="AB67" s="17" t="str">
        <f t="shared" si="13"/>
        <v>Desceu</v>
      </c>
      <c r="AC67" s="20">
        <f t="shared" si="14"/>
        <v>-0.0671</v>
      </c>
      <c r="AD67" s="21">
        <f t="shared" si="15"/>
        <v>7.449887448</v>
      </c>
      <c r="AE67" s="21">
        <f t="shared" si="16"/>
        <v>-247959154.2</v>
      </c>
      <c r="AF67" s="21" t="str">
        <f t="shared" si="17"/>
        <v>Desceu</v>
      </c>
      <c r="AG67" s="20">
        <f t="shared" si="18"/>
        <v>-0.3001</v>
      </c>
      <c r="AH67" s="21">
        <f t="shared" si="19"/>
        <v>9.929989999</v>
      </c>
      <c r="AI67" s="21">
        <f t="shared" si="20"/>
        <v>-1478164341</v>
      </c>
      <c r="AJ67" s="21" t="str">
        <f t="shared" si="21"/>
        <v>Desceu</v>
      </c>
    </row>
    <row r="68">
      <c r="A68" s="10" t="s">
        <v>167</v>
      </c>
      <c r="B68" s="11">
        <v>45317.0</v>
      </c>
      <c r="C68" s="12">
        <v>8.67</v>
      </c>
      <c r="D68" s="13">
        <v>-1.36</v>
      </c>
      <c r="E68" s="13">
        <v>4.08</v>
      </c>
      <c r="F68" s="13">
        <v>-14.33</v>
      </c>
      <c r="G68" s="13">
        <v>-14.33</v>
      </c>
      <c r="H68" s="13">
        <v>-34.52</v>
      </c>
      <c r="I68" s="13">
        <v>8.8</v>
      </c>
      <c r="J68" s="13">
        <v>8.62</v>
      </c>
      <c r="K68" s="10" t="s">
        <v>168</v>
      </c>
      <c r="L68" s="14">
        <f t="shared" si="1"/>
        <v>-0.0136</v>
      </c>
      <c r="M68" s="15">
        <f t="shared" si="2"/>
        <v>8.789537713</v>
      </c>
      <c r="N68" s="16">
        <f>VLOOKUP(A68,'Total de Ações'!A:B,2,0)</f>
        <v>176733968</v>
      </c>
      <c r="O68" s="17">
        <f t="shared" si="3"/>
        <v>-21126374.33</v>
      </c>
      <c r="P68" s="18" t="str">
        <f t="shared" si="4"/>
        <v>Desceu</v>
      </c>
      <c r="Q68" s="18" t="str">
        <f>VLOOKUP(A68,Ticker!A:B,2,0)</f>
        <v>Alpargatas</v>
      </c>
      <c r="R68" s="18" t="str">
        <f>VLOOKUP(Q68,ChatGpt!A:C,2,0)</f>
        <v>Calçados</v>
      </c>
      <c r="S68" s="18">
        <f>VLOOKUP(Q68,ChatGpt!A:C,3,0)</f>
        <v>100</v>
      </c>
      <c r="T68" s="18" t="str">
        <f t="shared" si="5"/>
        <v>Entre 50 e 100</v>
      </c>
      <c r="U68" s="18">
        <f t="shared" si="6"/>
        <v>0.0408</v>
      </c>
      <c r="V68" s="19">
        <f t="shared" si="7"/>
        <v>8.330130669</v>
      </c>
      <c r="W68" s="17">
        <f t="shared" si="8"/>
        <v>60066455.52</v>
      </c>
      <c r="X68" s="17" t="str">
        <f t="shared" si="9"/>
        <v>Subiu</v>
      </c>
      <c r="Y68" s="20">
        <f t="shared" si="10"/>
        <v>-0.1433</v>
      </c>
      <c r="Z68" s="17">
        <f t="shared" si="11"/>
        <v>10.12022878</v>
      </c>
      <c r="AA68" s="17">
        <f t="shared" si="12"/>
        <v>-256304687.7</v>
      </c>
      <c r="AB68" s="17" t="str">
        <f t="shared" si="13"/>
        <v>Desceu</v>
      </c>
      <c r="AC68" s="20">
        <f t="shared" si="14"/>
        <v>-0.1433</v>
      </c>
      <c r="AD68" s="21">
        <f t="shared" si="15"/>
        <v>10.12022878</v>
      </c>
      <c r="AE68" s="21">
        <f t="shared" si="16"/>
        <v>-256304687.7</v>
      </c>
      <c r="AF68" s="21" t="str">
        <f t="shared" si="17"/>
        <v>Desceu</v>
      </c>
      <c r="AG68" s="20">
        <f t="shared" si="18"/>
        <v>-0.3452</v>
      </c>
      <c r="AH68" s="21">
        <f t="shared" si="19"/>
        <v>13.24068418</v>
      </c>
      <c r="AI68" s="21">
        <f t="shared" si="20"/>
        <v>-807795151.3</v>
      </c>
      <c r="AJ68" s="21" t="str">
        <f t="shared" si="21"/>
        <v>Desceu</v>
      </c>
    </row>
    <row r="69">
      <c r="A69" s="10" t="s">
        <v>169</v>
      </c>
      <c r="B69" s="11">
        <v>45317.0</v>
      </c>
      <c r="C69" s="12">
        <v>22.84</v>
      </c>
      <c r="D69" s="13">
        <v>-1.38</v>
      </c>
      <c r="E69" s="13">
        <v>2.38</v>
      </c>
      <c r="F69" s="13">
        <v>-5.15</v>
      </c>
      <c r="G69" s="13">
        <v>-5.15</v>
      </c>
      <c r="H69" s="13">
        <v>60.09</v>
      </c>
      <c r="I69" s="13">
        <v>23.34</v>
      </c>
      <c r="J69" s="13">
        <v>22.62</v>
      </c>
      <c r="K69" s="10" t="s">
        <v>170</v>
      </c>
      <c r="L69" s="14">
        <f t="shared" si="1"/>
        <v>-0.0138</v>
      </c>
      <c r="M69" s="15">
        <f t="shared" si="2"/>
        <v>23.15960251</v>
      </c>
      <c r="N69" s="16">
        <f>VLOOKUP(A69,'Total de Ações'!A:B,2,0)</f>
        <v>265784616</v>
      </c>
      <c r="O69" s="17">
        <f t="shared" si="3"/>
        <v>-84945431.64</v>
      </c>
      <c r="P69" s="18" t="str">
        <f t="shared" si="4"/>
        <v>Desceu</v>
      </c>
      <c r="Q69" s="18" t="str">
        <f>VLOOKUP(A69,Ticker!A:B,2,0)</f>
        <v>Cyrela</v>
      </c>
      <c r="R69" s="18" t="str">
        <f>VLOOKUP(Q69,ChatGpt!A:C,2,0)</f>
        <v>Construção Civil</v>
      </c>
      <c r="S69" s="18">
        <f>VLOOKUP(Q69,ChatGpt!A:C,3,0)</f>
        <v>60</v>
      </c>
      <c r="T69" s="18" t="str">
        <f t="shared" si="5"/>
        <v>Entre 50 e 100</v>
      </c>
      <c r="U69" s="18">
        <f t="shared" si="6"/>
        <v>0.0238</v>
      </c>
      <c r="V69" s="19">
        <f t="shared" si="7"/>
        <v>22.30904474</v>
      </c>
      <c r="W69" s="17">
        <f t="shared" si="8"/>
        <v>141119741.1</v>
      </c>
      <c r="X69" s="17" t="str">
        <f t="shared" si="9"/>
        <v>Subiu</v>
      </c>
      <c r="Y69" s="20">
        <f t="shared" si="10"/>
        <v>-0.0515</v>
      </c>
      <c r="Z69" s="17">
        <f t="shared" si="11"/>
        <v>24.08012652</v>
      </c>
      <c r="AA69" s="17">
        <f t="shared" si="12"/>
        <v>-329606549.7</v>
      </c>
      <c r="AB69" s="17" t="str">
        <f t="shared" si="13"/>
        <v>Desceu</v>
      </c>
      <c r="AC69" s="20">
        <f t="shared" si="14"/>
        <v>-0.0515</v>
      </c>
      <c r="AD69" s="21">
        <f t="shared" si="15"/>
        <v>24.08012652</v>
      </c>
      <c r="AE69" s="21">
        <f t="shared" si="16"/>
        <v>-329606549.7</v>
      </c>
      <c r="AF69" s="21" t="str">
        <f t="shared" si="17"/>
        <v>Desceu</v>
      </c>
      <c r="AG69" s="20">
        <f t="shared" si="18"/>
        <v>0.6009</v>
      </c>
      <c r="AH69" s="21">
        <f t="shared" si="19"/>
        <v>14.26697483</v>
      </c>
      <c r="AI69" s="21">
        <f t="shared" si="20"/>
        <v>2278578204</v>
      </c>
      <c r="AJ69" s="21" t="str">
        <f t="shared" si="21"/>
        <v>Subiu</v>
      </c>
    </row>
    <row r="70">
      <c r="A70" s="10" t="s">
        <v>171</v>
      </c>
      <c r="B70" s="11">
        <v>45317.0</v>
      </c>
      <c r="C70" s="12">
        <v>22.4</v>
      </c>
      <c r="D70" s="13">
        <v>-1.4</v>
      </c>
      <c r="E70" s="13">
        <v>5.02</v>
      </c>
      <c r="F70" s="13">
        <v>0.04</v>
      </c>
      <c r="G70" s="13">
        <v>0.04</v>
      </c>
      <c r="H70" s="13">
        <v>34.29</v>
      </c>
      <c r="I70" s="13">
        <v>22.92</v>
      </c>
      <c r="J70" s="13">
        <v>22.26</v>
      </c>
      <c r="K70" s="10" t="s">
        <v>172</v>
      </c>
      <c r="L70" s="14">
        <f t="shared" si="1"/>
        <v>-0.014</v>
      </c>
      <c r="M70" s="15">
        <f t="shared" si="2"/>
        <v>22.71805274</v>
      </c>
      <c r="N70" s="16">
        <f>VLOOKUP(A70,'Total de Ações'!A:B,2,0)</f>
        <v>734632705</v>
      </c>
      <c r="O70" s="17">
        <f t="shared" si="3"/>
        <v>-233651943.5</v>
      </c>
      <c r="P70" s="18" t="str">
        <f t="shared" si="4"/>
        <v>Desceu</v>
      </c>
      <c r="Q70" s="18" t="str">
        <f>VLOOKUP(A70,Ticker!A:B,2,0)</f>
        <v>Embraer</v>
      </c>
      <c r="R70" s="18" t="str">
        <f>VLOOKUP(Q70,ChatGpt!A:C,2,0)</f>
        <v>Aeronáutica</v>
      </c>
      <c r="S70" s="18">
        <f>VLOOKUP(Q70,ChatGpt!A:C,3,0)</f>
        <v>50</v>
      </c>
      <c r="T70" s="18" t="str">
        <f t="shared" si="5"/>
        <v>Entre 50 e 100</v>
      </c>
      <c r="U70" s="18">
        <f t="shared" si="6"/>
        <v>0.0502</v>
      </c>
      <c r="V70" s="19">
        <f t="shared" si="7"/>
        <v>21.32927062</v>
      </c>
      <c r="W70" s="17">
        <f t="shared" si="8"/>
        <v>786592824.3</v>
      </c>
      <c r="X70" s="17" t="str">
        <f t="shared" si="9"/>
        <v>Subiu</v>
      </c>
      <c r="Y70" s="20">
        <f t="shared" si="10"/>
        <v>0.0004</v>
      </c>
      <c r="Z70" s="17">
        <f t="shared" si="11"/>
        <v>22.39104358</v>
      </c>
      <c r="AA70" s="17">
        <f t="shared" si="12"/>
        <v>6579677.166</v>
      </c>
      <c r="AB70" s="17" t="str">
        <f t="shared" si="13"/>
        <v>Subiu</v>
      </c>
      <c r="AC70" s="20">
        <f t="shared" si="14"/>
        <v>0.0004</v>
      </c>
      <c r="AD70" s="21">
        <f t="shared" si="15"/>
        <v>22.39104358</v>
      </c>
      <c r="AE70" s="21">
        <f t="shared" si="16"/>
        <v>6579677.166</v>
      </c>
      <c r="AF70" s="21" t="str">
        <f t="shared" si="17"/>
        <v>Subiu</v>
      </c>
      <c r="AG70" s="20">
        <f t="shared" si="18"/>
        <v>0.3429</v>
      </c>
      <c r="AH70" s="21">
        <f t="shared" si="19"/>
        <v>16.68031871</v>
      </c>
      <c r="AI70" s="21">
        <f t="shared" si="20"/>
        <v>4201864935</v>
      </c>
      <c r="AJ70" s="21" t="str">
        <f t="shared" si="21"/>
        <v>Subiu</v>
      </c>
    </row>
    <row r="71">
      <c r="A71" s="10" t="s">
        <v>173</v>
      </c>
      <c r="B71" s="11">
        <v>45317.0</v>
      </c>
      <c r="C71" s="12">
        <v>15.97</v>
      </c>
      <c r="D71" s="13">
        <v>-1.41</v>
      </c>
      <c r="E71" s="13">
        <v>-7.37</v>
      </c>
      <c r="F71" s="13">
        <v>-5.45</v>
      </c>
      <c r="G71" s="13">
        <v>-5.45</v>
      </c>
      <c r="H71" s="13">
        <v>23.51</v>
      </c>
      <c r="I71" s="13">
        <v>16.43</v>
      </c>
      <c r="J71" s="13">
        <v>15.84</v>
      </c>
      <c r="K71" s="10" t="s">
        <v>174</v>
      </c>
      <c r="L71" s="14">
        <f t="shared" si="1"/>
        <v>-0.0141</v>
      </c>
      <c r="M71" s="15">
        <f t="shared" si="2"/>
        <v>16.1983974</v>
      </c>
      <c r="N71" s="16">
        <f>VLOOKUP(A71,'Total de Ações'!A:B,2,0)</f>
        <v>846244302</v>
      </c>
      <c r="O71" s="17">
        <f t="shared" si="3"/>
        <v>-193280001.2</v>
      </c>
      <c r="P71" s="18" t="str">
        <f t="shared" si="4"/>
        <v>Desceu</v>
      </c>
      <c r="Q71" s="18" t="str">
        <f>VLOOKUP(A71,Ticker!A:B,2,0)</f>
        <v>Natura</v>
      </c>
      <c r="R71" s="18" t="str">
        <f>VLOOKUP(Q71,ChatGpt!A:C,2,0)</f>
        <v>Beleza</v>
      </c>
      <c r="S71" s="18">
        <f>VLOOKUP(Q71,ChatGpt!A:C,3,0)</f>
        <v>50</v>
      </c>
      <c r="T71" s="18" t="str">
        <f t="shared" si="5"/>
        <v>Entre 50 e 100</v>
      </c>
      <c r="U71" s="18">
        <f t="shared" si="6"/>
        <v>-0.0737</v>
      </c>
      <c r="V71" s="19">
        <f t="shared" si="7"/>
        <v>17.24063478</v>
      </c>
      <c r="W71" s="17">
        <f t="shared" si="8"/>
        <v>-1075267446</v>
      </c>
      <c r="X71" s="17" t="str">
        <f t="shared" si="9"/>
        <v>Desceu</v>
      </c>
      <c r="Y71" s="20">
        <f t="shared" si="10"/>
        <v>-0.0545</v>
      </c>
      <c r="Z71" s="17">
        <f t="shared" si="11"/>
        <v>16.89053411</v>
      </c>
      <c r="AA71" s="17">
        <f t="shared" si="12"/>
        <v>-778996744.5</v>
      </c>
      <c r="AB71" s="17" t="str">
        <f t="shared" si="13"/>
        <v>Desceu</v>
      </c>
      <c r="AC71" s="20">
        <f t="shared" si="14"/>
        <v>-0.0545</v>
      </c>
      <c r="AD71" s="21">
        <f t="shared" si="15"/>
        <v>16.89053411</v>
      </c>
      <c r="AE71" s="21">
        <f t="shared" si="16"/>
        <v>-778996744.5</v>
      </c>
      <c r="AF71" s="21" t="str">
        <f t="shared" si="17"/>
        <v>Desceu</v>
      </c>
      <c r="AG71" s="20">
        <f t="shared" si="18"/>
        <v>0.2351</v>
      </c>
      <c r="AH71" s="21">
        <f t="shared" si="19"/>
        <v>12.93012712</v>
      </c>
      <c r="AI71" s="21">
        <f t="shared" si="20"/>
        <v>2572475108</v>
      </c>
      <c r="AJ71" s="21" t="str">
        <f t="shared" si="21"/>
        <v>Subiu</v>
      </c>
    </row>
    <row r="72">
      <c r="A72" s="10" t="s">
        <v>175</v>
      </c>
      <c r="B72" s="11">
        <v>45317.0</v>
      </c>
      <c r="C72" s="12">
        <v>13.8</v>
      </c>
      <c r="D72" s="13">
        <v>-1.42</v>
      </c>
      <c r="E72" s="13">
        <v>-3.5</v>
      </c>
      <c r="F72" s="13">
        <v>2.0</v>
      </c>
      <c r="G72" s="13">
        <v>2.0</v>
      </c>
      <c r="H72" s="13">
        <v>-34.02</v>
      </c>
      <c r="I72" s="13">
        <v>14.0</v>
      </c>
      <c r="J72" s="13">
        <v>13.63</v>
      </c>
      <c r="K72" s="10" t="s">
        <v>176</v>
      </c>
      <c r="L72" s="14">
        <f t="shared" si="1"/>
        <v>-0.0142</v>
      </c>
      <c r="M72" s="15">
        <f t="shared" si="2"/>
        <v>13.99878271</v>
      </c>
      <c r="N72" s="16">
        <f>VLOOKUP(A72,'Total de Ações'!A:B,2,0)</f>
        <v>1349217892</v>
      </c>
      <c r="O72" s="17">
        <f t="shared" si="3"/>
        <v>-268201195.1</v>
      </c>
      <c r="P72" s="18" t="str">
        <f t="shared" si="4"/>
        <v>Desceu</v>
      </c>
      <c r="Q72" s="18" t="str">
        <f>VLOOKUP(A72,Ticker!A:B,2,0)</f>
        <v>Assaí</v>
      </c>
      <c r="R72" s="18" t="str">
        <f>VLOOKUP(Q72,ChatGpt!A:C,2,0)</f>
        <v>Varejo</v>
      </c>
      <c r="S72" s="18">
        <f>VLOOKUP(Q72,ChatGpt!A:C,3,0)</f>
        <v>10</v>
      </c>
      <c r="T72" s="18" t="str">
        <f t="shared" si="5"/>
        <v>Menos de 50</v>
      </c>
      <c r="U72" s="18">
        <f t="shared" si="6"/>
        <v>-0.035</v>
      </c>
      <c r="V72" s="19">
        <f t="shared" si="7"/>
        <v>14.30051813</v>
      </c>
      <c r="W72" s="17">
        <f t="shared" si="8"/>
        <v>-675308022.6</v>
      </c>
      <c r="X72" s="17" t="str">
        <f t="shared" si="9"/>
        <v>Desceu</v>
      </c>
      <c r="Y72" s="20">
        <f t="shared" si="10"/>
        <v>0.02</v>
      </c>
      <c r="Z72" s="17">
        <f t="shared" si="11"/>
        <v>13.52941176</v>
      </c>
      <c r="AA72" s="17">
        <f t="shared" si="12"/>
        <v>365082488.4</v>
      </c>
      <c r="AB72" s="17" t="str">
        <f t="shared" si="13"/>
        <v>Subiu</v>
      </c>
      <c r="AC72" s="20">
        <f t="shared" si="14"/>
        <v>0.02</v>
      </c>
      <c r="AD72" s="21">
        <f t="shared" si="15"/>
        <v>13.52941176</v>
      </c>
      <c r="AE72" s="21">
        <f t="shared" si="16"/>
        <v>365082488.4</v>
      </c>
      <c r="AF72" s="21" t="str">
        <f t="shared" si="17"/>
        <v>Subiu</v>
      </c>
      <c r="AG72" s="20">
        <f t="shared" si="18"/>
        <v>-0.3402</v>
      </c>
      <c r="AH72" s="21">
        <f t="shared" si="19"/>
        <v>20.91542892</v>
      </c>
      <c r="AI72" s="21">
        <f t="shared" si="20"/>
        <v>-9600264005</v>
      </c>
      <c r="AJ72" s="21" t="str">
        <f t="shared" si="21"/>
        <v>Desceu</v>
      </c>
    </row>
    <row r="73">
      <c r="A73" s="10" t="s">
        <v>177</v>
      </c>
      <c r="B73" s="11">
        <v>45317.0</v>
      </c>
      <c r="C73" s="12">
        <v>13.22</v>
      </c>
      <c r="D73" s="13">
        <v>-1.56</v>
      </c>
      <c r="E73" s="13">
        <v>-4.13</v>
      </c>
      <c r="F73" s="13">
        <v>-8.58</v>
      </c>
      <c r="G73" s="13">
        <v>-8.58</v>
      </c>
      <c r="H73" s="13">
        <v>3.88</v>
      </c>
      <c r="I73" s="13">
        <v>13.42</v>
      </c>
      <c r="J73" s="13">
        <v>13.18</v>
      </c>
      <c r="K73" s="10" t="s">
        <v>178</v>
      </c>
      <c r="L73" s="14">
        <f t="shared" si="1"/>
        <v>-0.0156</v>
      </c>
      <c r="M73" s="15">
        <f t="shared" si="2"/>
        <v>13.4295002</v>
      </c>
      <c r="N73" s="16">
        <f>VLOOKUP(A73,'Total de Ações'!A:B,2,0)</f>
        <v>5602790110</v>
      </c>
      <c r="O73" s="17">
        <f t="shared" si="3"/>
        <v>-1173785666</v>
      </c>
      <c r="P73" s="18" t="str">
        <f t="shared" si="4"/>
        <v>Desceu</v>
      </c>
      <c r="Q73" s="18" t="str">
        <f>VLOOKUP(A73,Ticker!A:B,2,0)</f>
        <v>B3</v>
      </c>
      <c r="R73" s="18" t="str">
        <f>VLOOKUP(Q73,ChatGpt!A:C,2,0)</f>
        <v>Finanças</v>
      </c>
      <c r="S73" s="18">
        <f>VLOOKUP(Q73,ChatGpt!A:C,3,0)</f>
        <v>10</v>
      </c>
      <c r="T73" s="18" t="str">
        <f t="shared" si="5"/>
        <v>Menos de 50</v>
      </c>
      <c r="U73" s="18">
        <f t="shared" si="6"/>
        <v>-0.0413</v>
      </c>
      <c r="V73" s="19">
        <f t="shared" si="7"/>
        <v>13.78950662</v>
      </c>
      <c r="W73" s="17">
        <f t="shared" si="8"/>
        <v>-3190826078</v>
      </c>
      <c r="X73" s="17" t="str">
        <f t="shared" si="9"/>
        <v>Desceu</v>
      </c>
      <c r="Y73" s="20">
        <f t="shared" si="10"/>
        <v>-0.0858</v>
      </c>
      <c r="Z73" s="17">
        <f t="shared" si="11"/>
        <v>14.46073069</v>
      </c>
      <c r="AA73" s="17">
        <f t="shared" si="12"/>
        <v>-6951553659</v>
      </c>
      <c r="AB73" s="17" t="str">
        <f t="shared" si="13"/>
        <v>Desceu</v>
      </c>
      <c r="AC73" s="20">
        <f t="shared" si="14"/>
        <v>-0.0858</v>
      </c>
      <c r="AD73" s="21">
        <f t="shared" si="15"/>
        <v>14.46073069</v>
      </c>
      <c r="AE73" s="21">
        <f t="shared" si="16"/>
        <v>-6951553659</v>
      </c>
      <c r="AF73" s="21" t="str">
        <f t="shared" si="17"/>
        <v>Desceu</v>
      </c>
      <c r="AG73" s="20">
        <f t="shared" si="18"/>
        <v>0.0388</v>
      </c>
      <c r="AH73" s="21">
        <f t="shared" si="19"/>
        <v>12.72622256</v>
      </c>
      <c r="AI73" s="21">
        <f t="shared" si="20"/>
        <v>2766531332</v>
      </c>
      <c r="AJ73" s="21" t="str">
        <f t="shared" si="21"/>
        <v>Subiu</v>
      </c>
    </row>
    <row r="74">
      <c r="A74" s="10" t="s">
        <v>179</v>
      </c>
      <c r="B74" s="11">
        <v>45317.0</v>
      </c>
      <c r="C74" s="12">
        <v>31.08</v>
      </c>
      <c r="D74" s="13">
        <v>-1.61</v>
      </c>
      <c r="E74" s="13">
        <v>-5.27</v>
      </c>
      <c r="F74" s="13">
        <v>-13.06</v>
      </c>
      <c r="G74" s="13">
        <v>-13.06</v>
      </c>
      <c r="H74" s="13">
        <v>-27.52</v>
      </c>
      <c r="I74" s="13">
        <v>31.72</v>
      </c>
      <c r="J74" s="13">
        <v>30.91</v>
      </c>
      <c r="K74" s="10" t="s">
        <v>180</v>
      </c>
      <c r="L74" s="14">
        <f t="shared" si="1"/>
        <v>-0.0161</v>
      </c>
      <c r="M74" s="15">
        <f t="shared" si="2"/>
        <v>31.58857607</v>
      </c>
      <c r="N74" s="16">
        <f>VLOOKUP(A74,'Total de Ações'!A:B,2,0)</f>
        <v>409490388</v>
      </c>
      <c r="O74" s="17">
        <f t="shared" si="3"/>
        <v>-208257014.2</v>
      </c>
      <c r="P74" s="18" t="str">
        <f t="shared" si="4"/>
        <v>Desceu</v>
      </c>
      <c r="Q74" s="18" t="str">
        <f>VLOOKUP(A74,Ticker!A:B,2,0)</f>
        <v>Hypera</v>
      </c>
      <c r="R74" s="18" t="str">
        <f>VLOOKUP(Q74,ChatGpt!A:C,2,0)</f>
        <v>Farmacêutica</v>
      </c>
      <c r="S74" s="18">
        <f>VLOOKUP(Q74,ChatGpt!A:C,3,0)</f>
        <v>20</v>
      </c>
      <c r="T74" s="18" t="str">
        <f t="shared" si="5"/>
        <v>Menos de 50</v>
      </c>
      <c r="U74" s="18">
        <f t="shared" si="6"/>
        <v>-0.0527</v>
      </c>
      <c r="V74" s="19">
        <f t="shared" si="7"/>
        <v>32.80903621</v>
      </c>
      <c r="W74" s="17">
        <f t="shared" si="8"/>
        <v>-708023707.7</v>
      </c>
      <c r="X74" s="17" t="str">
        <f t="shared" si="9"/>
        <v>Desceu</v>
      </c>
      <c r="Y74" s="20">
        <f t="shared" si="10"/>
        <v>-0.1306</v>
      </c>
      <c r="Z74" s="17">
        <f t="shared" si="11"/>
        <v>35.74879227</v>
      </c>
      <c r="AA74" s="17">
        <f t="shared" si="12"/>
        <v>-1911825558</v>
      </c>
      <c r="AB74" s="17" t="str">
        <f t="shared" si="13"/>
        <v>Desceu</v>
      </c>
      <c r="AC74" s="20">
        <f t="shared" si="14"/>
        <v>-0.1306</v>
      </c>
      <c r="AD74" s="21">
        <f t="shared" si="15"/>
        <v>35.74879227</v>
      </c>
      <c r="AE74" s="21">
        <f t="shared" si="16"/>
        <v>-1911825558</v>
      </c>
      <c r="AF74" s="21" t="str">
        <f t="shared" si="17"/>
        <v>Desceu</v>
      </c>
      <c r="AG74" s="20">
        <f t="shared" si="18"/>
        <v>-0.2752</v>
      </c>
      <c r="AH74" s="21">
        <f t="shared" si="19"/>
        <v>42.8807947</v>
      </c>
      <c r="AI74" s="21">
        <f t="shared" si="20"/>
        <v>-4832312001</v>
      </c>
      <c r="AJ74" s="21" t="str">
        <f t="shared" si="21"/>
        <v>Desceu</v>
      </c>
    </row>
    <row r="75">
      <c r="A75" s="10" t="s">
        <v>181</v>
      </c>
      <c r="B75" s="11">
        <v>45317.0</v>
      </c>
      <c r="C75" s="12">
        <v>28.2</v>
      </c>
      <c r="D75" s="13">
        <v>-1.94</v>
      </c>
      <c r="E75" s="13">
        <v>0.36</v>
      </c>
      <c r="F75" s="13">
        <v>-3.79</v>
      </c>
      <c r="G75" s="13">
        <v>-3.79</v>
      </c>
      <c r="H75" s="13">
        <v>17.1</v>
      </c>
      <c r="I75" s="13">
        <v>28.97</v>
      </c>
      <c r="J75" s="13">
        <v>28.13</v>
      </c>
      <c r="K75" s="10" t="s">
        <v>182</v>
      </c>
      <c r="L75" s="14">
        <f t="shared" si="1"/>
        <v>-0.0194</v>
      </c>
      <c r="M75" s="15">
        <f t="shared" si="2"/>
        <v>28.75790332</v>
      </c>
      <c r="N75" s="16">
        <f>VLOOKUP(A75,'Total de Ações'!A:B,2,0)</f>
        <v>142377330</v>
      </c>
      <c r="O75" s="17">
        <f t="shared" si="3"/>
        <v>-79432785.74</v>
      </c>
      <c r="P75" s="18" t="str">
        <f t="shared" si="4"/>
        <v>Desceu</v>
      </c>
      <c r="Q75" s="18" t="str">
        <f>VLOOKUP(A75,Ticker!A:B,2,0)</f>
        <v>São Martinho</v>
      </c>
      <c r="R75" s="18" t="str">
        <f>VLOOKUP(Q75,ChatGpt!A:C,2,0)</f>
        <v>Açúcar e Álcool</v>
      </c>
      <c r="S75" s="18">
        <f>VLOOKUP(Q75,ChatGpt!A:C,3,0)</f>
        <v>80</v>
      </c>
      <c r="T75" s="18" t="str">
        <f t="shared" si="5"/>
        <v>Entre 50 e 100</v>
      </c>
      <c r="U75" s="18">
        <f t="shared" si="6"/>
        <v>0.0036</v>
      </c>
      <c r="V75" s="19">
        <f t="shared" si="7"/>
        <v>28.09884416</v>
      </c>
      <c r="W75" s="17">
        <f t="shared" si="8"/>
        <v>14402298.27</v>
      </c>
      <c r="X75" s="17" t="str">
        <f t="shared" si="9"/>
        <v>Subiu</v>
      </c>
      <c r="Y75" s="20">
        <f t="shared" si="10"/>
        <v>-0.0379</v>
      </c>
      <c r="Z75" s="17">
        <f t="shared" si="11"/>
        <v>29.31088244</v>
      </c>
      <c r="AA75" s="17">
        <f t="shared" si="12"/>
        <v>-158164476.4</v>
      </c>
      <c r="AB75" s="17" t="str">
        <f t="shared" si="13"/>
        <v>Desceu</v>
      </c>
      <c r="AC75" s="20">
        <f t="shared" si="14"/>
        <v>-0.0379</v>
      </c>
      <c r="AD75" s="21">
        <f t="shared" si="15"/>
        <v>29.31088244</v>
      </c>
      <c r="AE75" s="21">
        <f t="shared" si="16"/>
        <v>-158164476.4</v>
      </c>
      <c r="AF75" s="21" t="str">
        <f t="shared" si="17"/>
        <v>Desceu</v>
      </c>
      <c r="AG75" s="20">
        <f t="shared" si="18"/>
        <v>0.171</v>
      </c>
      <c r="AH75" s="21">
        <f t="shared" si="19"/>
        <v>24.08198121</v>
      </c>
      <c r="AI75" s="21">
        <f t="shared" si="20"/>
        <v>586312519.8</v>
      </c>
      <c r="AJ75" s="21" t="str">
        <f t="shared" si="21"/>
        <v>Subiu</v>
      </c>
    </row>
    <row r="76">
      <c r="A76" s="10" t="s">
        <v>183</v>
      </c>
      <c r="B76" s="11">
        <v>45317.0</v>
      </c>
      <c r="C76" s="12">
        <v>3.93</v>
      </c>
      <c r="D76" s="13">
        <v>-1.99</v>
      </c>
      <c r="E76" s="13">
        <v>-2.24</v>
      </c>
      <c r="F76" s="13">
        <v>-11.69</v>
      </c>
      <c r="G76" s="13">
        <v>-11.69</v>
      </c>
      <c r="H76" s="13">
        <v>-11.49</v>
      </c>
      <c r="I76" s="13">
        <v>4.06</v>
      </c>
      <c r="J76" s="13">
        <v>3.89</v>
      </c>
      <c r="K76" s="10" t="s">
        <v>184</v>
      </c>
      <c r="L76" s="14">
        <f t="shared" si="1"/>
        <v>-0.0199</v>
      </c>
      <c r="M76" s="15">
        <f t="shared" si="2"/>
        <v>4.009794919</v>
      </c>
      <c r="N76" s="16">
        <f>VLOOKUP(A76,'Total de Ações'!A:B,2,0)</f>
        <v>4394332306</v>
      </c>
      <c r="O76" s="17">
        <f t="shared" si="3"/>
        <v>-350645389.9</v>
      </c>
      <c r="P76" s="18" t="str">
        <f t="shared" si="4"/>
        <v>Desceu</v>
      </c>
      <c r="Q76" s="18" t="str">
        <f>VLOOKUP(A76,Ticker!A:B,2,0)</f>
        <v>Hapvida</v>
      </c>
      <c r="R76" s="18" t="str">
        <f>VLOOKUP(Q76,ChatGpt!A:C,2,0)</f>
        <v>Saúde</v>
      </c>
      <c r="S76" s="18">
        <f>VLOOKUP(Q76,ChatGpt!A:C,3,0)</f>
        <v>40</v>
      </c>
      <c r="T76" s="18" t="str">
        <f t="shared" si="5"/>
        <v>Menos de 50</v>
      </c>
      <c r="U76" s="18">
        <f t="shared" si="6"/>
        <v>-0.0224</v>
      </c>
      <c r="V76" s="19">
        <f t="shared" si="7"/>
        <v>4.0200491</v>
      </c>
      <c r="W76" s="17">
        <f t="shared" si="8"/>
        <v>-395705668.5</v>
      </c>
      <c r="X76" s="17" t="str">
        <f t="shared" si="9"/>
        <v>Desceu</v>
      </c>
      <c r="Y76" s="20">
        <f t="shared" si="10"/>
        <v>-0.1169</v>
      </c>
      <c r="Z76" s="17">
        <f t="shared" si="11"/>
        <v>4.450232137</v>
      </c>
      <c r="AA76" s="17">
        <f t="shared" si="12"/>
        <v>-2286072885</v>
      </c>
      <c r="AB76" s="17" t="str">
        <f t="shared" si="13"/>
        <v>Desceu</v>
      </c>
      <c r="AC76" s="20">
        <f t="shared" si="14"/>
        <v>-0.1169</v>
      </c>
      <c r="AD76" s="21">
        <f t="shared" si="15"/>
        <v>4.450232137</v>
      </c>
      <c r="AE76" s="21">
        <f t="shared" si="16"/>
        <v>-2286072885</v>
      </c>
      <c r="AF76" s="21" t="str">
        <f t="shared" si="17"/>
        <v>Desceu</v>
      </c>
      <c r="AG76" s="20">
        <f t="shared" si="18"/>
        <v>-0.1149</v>
      </c>
      <c r="AH76" s="21">
        <f t="shared" si="19"/>
        <v>4.440176251</v>
      </c>
      <c r="AI76" s="21">
        <f t="shared" si="20"/>
        <v>-2241883983</v>
      </c>
      <c r="AJ76" s="21" t="str">
        <f t="shared" si="21"/>
        <v>Desceu</v>
      </c>
    </row>
    <row r="77">
      <c r="A77" s="10" t="s">
        <v>185</v>
      </c>
      <c r="B77" s="11">
        <v>45317.0</v>
      </c>
      <c r="C77" s="12">
        <v>15.78</v>
      </c>
      <c r="D77" s="13">
        <v>-2.29</v>
      </c>
      <c r="E77" s="13">
        <v>-5.62</v>
      </c>
      <c r="F77" s="13">
        <v>-9.41</v>
      </c>
      <c r="G77" s="13">
        <v>-9.41</v>
      </c>
      <c r="H77" s="13">
        <v>-24.94</v>
      </c>
      <c r="I77" s="13">
        <v>16.23</v>
      </c>
      <c r="J77" s="13">
        <v>15.7</v>
      </c>
      <c r="K77" s="10" t="s">
        <v>186</v>
      </c>
      <c r="L77" s="14">
        <f t="shared" si="1"/>
        <v>-0.0229</v>
      </c>
      <c r="M77" s="15">
        <f t="shared" si="2"/>
        <v>16.14983113</v>
      </c>
      <c r="N77" s="16">
        <f>VLOOKUP(A77,'Total de Ações'!A:B,2,0)</f>
        <v>951329770</v>
      </c>
      <c r="O77" s="17">
        <f t="shared" si="3"/>
        <v>-351831366.6</v>
      </c>
      <c r="P77" s="18" t="str">
        <f t="shared" si="4"/>
        <v>Desceu</v>
      </c>
      <c r="Q77" s="18" t="str">
        <f>VLOOKUP(A77,Ticker!A:B,2,0)</f>
        <v>Lojas Renner</v>
      </c>
      <c r="R77" s="18" t="str">
        <f>VLOOKUP(Q77,ChatGpt!A:C,2,0)</f>
        <v>Varejo</v>
      </c>
      <c r="S77" s="18">
        <f>VLOOKUP(Q77,ChatGpt!A:C,3,0)</f>
        <v>50</v>
      </c>
      <c r="T77" s="18" t="str">
        <f t="shared" si="5"/>
        <v>Entre 50 e 100</v>
      </c>
      <c r="U77" s="18">
        <f t="shared" si="6"/>
        <v>-0.0562</v>
      </c>
      <c r="V77" s="19">
        <f t="shared" si="7"/>
        <v>16.71964399</v>
      </c>
      <c r="W77" s="17">
        <f t="shared" si="8"/>
        <v>-893911303.1</v>
      </c>
      <c r="X77" s="17" t="str">
        <f t="shared" si="9"/>
        <v>Desceu</v>
      </c>
      <c r="Y77" s="20">
        <f t="shared" si="10"/>
        <v>-0.0941</v>
      </c>
      <c r="Z77" s="17">
        <f t="shared" si="11"/>
        <v>17.41914119</v>
      </c>
      <c r="AA77" s="17">
        <f t="shared" si="12"/>
        <v>-1559363807</v>
      </c>
      <c r="AB77" s="17" t="str">
        <f t="shared" si="13"/>
        <v>Desceu</v>
      </c>
      <c r="AC77" s="20">
        <f t="shared" si="14"/>
        <v>-0.0941</v>
      </c>
      <c r="AD77" s="21">
        <f t="shared" si="15"/>
        <v>17.41914119</v>
      </c>
      <c r="AE77" s="21">
        <f t="shared" si="16"/>
        <v>-1559363807</v>
      </c>
      <c r="AF77" s="21" t="str">
        <f t="shared" si="17"/>
        <v>Desceu</v>
      </c>
      <c r="AG77" s="20">
        <f t="shared" si="18"/>
        <v>-0.2494</v>
      </c>
      <c r="AH77" s="21">
        <f t="shared" si="19"/>
        <v>21.02318145</v>
      </c>
      <c r="AI77" s="21">
        <f t="shared" si="20"/>
        <v>-4987994607</v>
      </c>
      <c r="AJ77" s="21" t="str">
        <f t="shared" si="21"/>
        <v>Desceu</v>
      </c>
    </row>
    <row r="78">
      <c r="A78" s="10" t="s">
        <v>187</v>
      </c>
      <c r="B78" s="11">
        <v>45317.0</v>
      </c>
      <c r="C78" s="12">
        <v>10.71</v>
      </c>
      <c r="D78" s="13">
        <v>-2.45</v>
      </c>
      <c r="E78" s="13">
        <v>-9.47</v>
      </c>
      <c r="F78" s="13">
        <v>-13.98</v>
      </c>
      <c r="G78" s="13">
        <v>-13.98</v>
      </c>
      <c r="H78" s="13">
        <v>-32.72</v>
      </c>
      <c r="I78" s="13">
        <v>11.08</v>
      </c>
      <c r="J78" s="13">
        <v>10.7</v>
      </c>
      <c r="K78" s="10" t="s">
        <v>188</v>
      </c>
      <c r="L78" s="14">
        <f t="shared" si="1"/>
        <v>-0.0245</v>
      </c>
      <c r="M78" s="15">
        <f t="shared" si="2"/>
        <v>10.97898514</v>
      </c>
      <c r="N78" s="16">
        <f>VLOOKUP(A78,'Total de Ações'!A:B,2,0)</f>
        <v>533990587</v>
      </c>
      <c r="O78" s="17">
        <f t="shared" si="3"/>
        <v>-143635530.6</v>
      </c>
      <c r="P78" s="18" t="str">
        <f t="shared" si="4"/>
        <v>Desceu</v>
      </c>
      <c r="Q78" s="18" t="str">
        <f>VLOOKUP(A78,Ticker!A:B,2,0)</f>
        <v>Carrefour Brasil</v>
      </c>
      <c r="R78" s="18" t="str">
        <f>VLOOKUP(Q78,ChatGpt!A:C,2,0)</f>
        <v>Varejo</v>
      </c>
      <c r="S78" s="18">
        <f>VLOOKUP(Q78,ChatGpt!A:C,3,0)</f>
        <v>40</v>
      </c>
      <c r="T78" s="18" t="str">
        <f t="shared" si="5"/>
        <v>Menos de 50</v>
      </c>
      <c r="U78" s="18">
        <f t="shared" si="6"/>
        <v>-0.0947</v>
      </c>
      <c r="V78" s="19">
        <f t="shared" si="7"/>
        <v>11.83033249</v>
      </c>
      <c r="W78" s="17">
        <f t="shared" si="8"/>
        <v>-598247002.1</v>
      </c>
      <c r="X78" s="17" t="str">
        <f t="shared" si="9"/>
        <v>Desceu</v>
      </c>
      <c r="Y78" s="20">
        <f t="shared" si="10"/>
        <v>-0.1398</v>
      </c>
      <c r="Z78" s="17">
        <f t="shared" si="11"/>
        <v>12.45059289</v>
      </c>
      <c r="AA78" s="17">
        <f t="shared" si="12"/>
        <v>-929460216.6</v>
      </c>
      <c r="AB78" s="17" t="str">
        <f t="shared" si="13"/>
        <v>Desceu</v>
      </c>
      <c r="AC78" s="20">
        <f t="shared" si="14"/>
        <v>-0.1398</v>
      </c>
      <c r="AD78" s="21">
        <f t="shared" si="15"/>
        <v>12.45059289</v>
      </c>
      <c r="AE78" s="21">
        <f t="shared" si="16"/>
        <v>-929460216.6</v>
      </c>
      <c r="AF78" s="21" t="str">
        <f t="shared" si="17"/>
        <v>Desceu</v>
      </c>
      <c r="AG78" s="20">
        <f t="shared" si="18"/>
        <v>-0.3272</v>
      </c>
      <c r="AH78" s="21">
        <f t="shared" si="19"/>
        <v>15.91854935</v>
      </c>
      <c r="AI78" s="21">
        <f t="shared" si="20"/>
        <v>-2781316323</v>
      </c>
      <c r="AJ78" s="21" t="str">
        <f t="shared" si="21"/>
        <v>Desceu</v>
      </c>
    </row>
    <row r="79">
      <c r="A79" s="10" t="s">
        <v>189</v>
      </c>
      <c r="B79" s="11">
        <v>45317.0</v>
      </c>
      <c r="C79" s="12">
        <v>8.7</v>
      </c>
      <c r="D79" s="13">
        <v>-2.46</v>
      </c>
      <c r="E79" s="13">
        <v>-6.95</v>
      </c>
      <c r="F79" s="13">
        <v>-23.55</v>
      </c>
      <c r="G79" s="13">
        <v>-23.55</v>
      </c>
      <c r="H79" s="13">
        <v>-85.74</v>
      </c>
      <c r="I79" s="13">
        <v>8.95</v>
      </c>
      <c r="J79" s="13">
        <v>8.67</v>
      </c>
      <c r="K79" s="10" t="s">
        <v>190</v>
      </c>
      <c r="L79" s="14">
        <f t="shared" si="1"/>
        <v>-0.0246</v>
      </c>
      <c r="M79" s="15">
        <f t="shared" si="2"/>
        <v>8.919417675</v>
      </c>
      <c r="N79" s="16">
        <f>VLOOKUP(A79,'Total de Ações'!A:B,2,0)</f>
        <v>94843047</v>
      </c>
      <c r="O79" s="17">
        <f t="shared" si="3"/>
        <v>-20810240.84</v>
      </c>
      <c r="P79" s="18" t="str">
        <f t="shared" si="4"/>
        <v>Desceu</v>
      </c>
      <c r="Q79" s="18" t="str">
        <f>VLOOKUP(A79,Ticker!A:B,2,0)</f>
        <v>Casas Bahia</v>
      </c>
      <c r="R79" s="18" t="str">
        <f>VLOOKUP(Q79,ChatGpt!A:C,2,0)</f>
        <v>Varejo</v>
      </c>
      <c r="S79" s="18">
        <f>VLOOKUP(Q79,ChatGpt!A:C,3,0)</f>
        <v>60</v>
      </c>
      <c r="T79" s="18" t="str">
        <f t="shared" si="5"/>
        <v>Entre 50 e 100</v>
      </c>
      <c r="U79" s="18">
        <f t="shared" si="6"/>
        <v>-0.0695</v>
      </c>
      <c r="V79" s="19">
        <f t="shared" si="7"/>
        <v>9.349811929</v>
      </c>
      <c r="W79" s="17">
        <f t="shared" si="8"/>
        <v>-61630143.33</v>
      </c>
      <c r="X79" s="17" t="str">
        <f t="shared" si="9"/>
        <v>Desceu</v>
      </c>
      <c r="Y79" s="20">
        <f t="shared" si="10"/>
        <v>-0.2355</v>
      </c>
      <c r="Z79" s="17">
        <f t="shared" si="11"/>
        <v>11.37998692</v>
      </c>
      <c r="AA79" s="17">
        <f t="shared" si="12"/>
        <v>-254178125.4</v>
      </c>
      <c r="AB79" s="17" t="str">
        <f t="shared" si="13"/>
        <v>Desceu</v>
      </c>
      <c r="AC79" s="20">
        <f t="shared" si="14"/>
        <v>-0.2355</v>
      </c>
      <c r="AD79" s="21">
        <f t="shared" si="15"/>
        <v>11.37998692</v>
      </c>
      <c r="AE79" s="21">
        <f t="shared" si="16"/>
        <v>-254178125.4</v>
      </c>
      <c r="AF79" s="21" t="str">
        <f t="shared" si="17"/>
        <v>Desceu</v>
      </c>
      <c r="AG79" s="20">
        <f t="shared" si="18"/>
        <v>-0.8574</v>
      </c>
      <c r="AH79" s="21">
        <f t="shared" si="19"/>
        <v>61.00981767</v>
      </c>
      <c r="AI79" s="21">
        <f t="shared" si="20"/>
        <v>-4961222496</v>
      </c>
      <c r="AJ79" s="21" t="str">
        <f t="shared" si="21"/>
        <v>Desceu</v>
      </c>
    </row>
    <row r="80">
      <c r="A80" s="10" t="s">
        <v>191</v>
      </c>
      <c r="B80" s="11">
        <v>45317.0</v>
      </c>
      <c r="C80" s="12">
        <v>56.24</v>
      </c>
      <c r="D80" s="13">
        <v>-3.63</v>
      </c>
      <c r="E80" s="13">
        <v>-6.41</v>
      </c>
      <c r="F80" s="13">
        <v>-11.57</v>
      </c>
      <c r="G80" s="13">
        <v>-11.57</v>
      </c>
      <c r="H80" s="13">
        <v>-2.77</v>
      </c>
      <c r="I80" s="13">
        <v>58.9</v>
      </c>
      <c r="J80" s="13">
        <v>56.04</v>
      </c>
      <c r="K80" s="10" t="s">
        <v>192</v>
      </c>
      <c r="L80" s="14">
        <f t="shared" si="1"/>
        <v>-0.0363</v>
      </c>
      <c r="M80" s="15">
        <f t="shared" si="2"/>
        <v>58.35841029</v>
      </c>
      <c r="N80" s="16">
        <f>VLOOKUP(A80,'Total de Ações'!A:B,2,0)</f>
        <v>853202347</v>
      </c>
      <c r="O80" s="17">
        <f t="shared" si="3"/>
        <v>-1807432634</v>
      </c>
      <c r="P80" s="18" t="str">
        <f t="shared" si="4"/>
        <v>Desceu</v>
      </c>
      <c r="Q80" s="18" t="str">
        <f>VLOOKUP(A80,Ticker!A:B,2,0)</f>
        <v>Localiza</v>
      </c>
      <c r="R80" s="18" t="str">
        <f>VLOOKUP(Q80,ChatGpt!A:C,2,0)</f>
        <v>Aluguel de Carros</v>
      </c>
      <c r="S80" s="18">
        <f>VLOOKUP(Q80,ChatGpt!A:C,3,0)</f>
        <v>40</v>
      </c>
      <c r="T80" s="18" t="str">
        <f t="shared" si="5"/>
        <v>Menos de 50</v>
      </c>
      <c r="U80" s="18">
        <f t="shared" si="6"/>
        <v>-0.0641</v>
      </c>
      <c r="V80" s="19">
        <f t="shared" si="7"/>
        <v>60.09189016</v>
      </c>
      <c r="W80" s="17">
        <f t="shared" si="8"/>
        <v>-3286441724</v>
      </c>
      <c r="X80" s="17" t="str">
        <f t="shared" si="9"/>
        <v>Desceu</v>
      </c>
      <c r="Y80" s="20">
        <f t="shared" si="10"/>
        <v>-0.1157</v>
      </c>
      <c r="Z80" s="17">
        <f t="shared" si="11"/>
        <v>63.59832636</v>
      </c>
      <c r="AA80" s="17">
        <f t="shared" si="12"/>
        <v>-6278141320</v>
      </c>
      <c r="AB80" s="17" t="str">
        <f t="shared" si="13"/>
        <v>Desceu</v>
      </c>
      <c r="AC80" s="20">
        <f t="shared" si="14"/>
        <v>-0.1157</v>
      </c>
      <c r="AD80" s="21">
        <f t="shared" si="15"/>
        <v>63.59832636</v>
      </c>
      <c r="AE80" s="21">
        <f t="shared" si="16"/>
        <v>-6278141320</v>
      </c>
      <c r="AF80" s="21" t="str">
        <f t="shared" si="17"/>
        <v>Desceu</v>
      </c>
      <c r="AG80" s="20">
        <f t="shared" si="18"/>
        <v>-0.0277</v>
      </c>
      <c r="AH80" s="21">
        <f t="shared" si="19"/>
        <v>57.84222976</v>
      </c>
      <c r="AI80" s="21">
        <f t="shared" si="20"/>
        <v>-1367026195</v>
      </c>
      <c r="AJ80" s="21" t="str">
        <f t="shared" si="21"/>
        <v>Desceu</v>
      </c>
    </row>
    <row r="81">
      <c r="A81" s="10" t="s">
        <v>193</v>
      </c>
      <c r="B81" s="11">
        <v>45317.0</v>
      </c>
      <c r="C81" s="12">
        <v>3.07</v>
      </c>
      <c r="D81" s="13">
        <v>-4.36</v>
      </c>
      <c r="E81" s="13">
        <v>-5.54</v>
      </c>
      <c r="F81" s="13">
        <v>-12.29</v>
      </c>
      <c r="G81" s="13">
        <v>-12.29</v>
      </c>
      <c r="H81" s="13">
        <v>-36.83</v>
      </c>
      <c r="I81" s="13">
        <v>3.23</v>
      </c>
      <c r="J81" s="13">
        <v>3.05</v>
      </c>
      <c r="K81" s="10" t="s">
        <v>194</v>
      </c>
      <c r="L81" s="14">
        <f t="shared" si="1"/>
        <v>-0.0436</v>
      </c>
      <c r="M81" s="15">
        <f t="shared" si="2"/>
        <v>3.209953994</v>
      </c>
      <c r="N81" s="16">
        <f>VLOOKUP(A81,'Total de Ações'!A:B,2,0)</f>
        <v>525582771</v>
      </c>
      <c r="O81" s="17">
        <f t="shared" si="3"/>
        <v>-73557408.06</v>
      </c>
      <c r="P81" s="18" t="str">
        <f t="shared" si="4"/>
        <v>Desceu</v>
      </c>
      <c r="Q81" s="18" t="str">
        <f>VLOOKUP(A81,Ticker!A:B,2,0)</f>
        <v>CVC</v>
      </c>
      <c r="R81" s="18" t="str">
        <f>VLOOKUP(Q81,ChatGpt!A:C,2,0)</f>
        <v>Turismo</v>
      </c>
      <c r="S81" s="18">
        <f>VLOOKUP(Q81,ChatGpt!A:C,3,0)</f>
        <v>40</v>
      </c>
      <c r="T81" s="18" t="str">
        <f t="shared" si="5"/>
        <v>Menos de 50</v>
      </c>
      <c r="U81" s="18">
        <f t="shared" si="6"/>
        <v>-0.0554</v>
      </c>
      <c r="V81" s="19">
        <f t="shared" si="7"/>
        <v>3.250052932</v>
      </c>
      <c r="W81" s="17">
        <f t="shared" si="8"/>
        <v>-94632719.17</v>
      </c>
      <c r="X81" s="17" t="str">
        <f t="shared" si="9"/>
        <v>Desceu</v>
      </c>
      <c r="Y81" s="20">
        <f t="shared" si="10"/>
        <v>-0.1229</v>
      </c>
      <c r="Z81" s="17">
        <f t="shared" si="11"/>
        <v>3.500171018</v>
      </c>
      <c r="AA81" s="17">
        <f t="shared" si="12"/>
        <v>-226090475.7</v>
      </c>
      <c r="AB81" s="17" t="str">
        <f t="shared" si="13"/>
        <v>Desceu</v>
      </c>
      <c r="AC81" s="20">
        <f t="shared" si="14"/>
        <v>-0.1229</v>
      </c>
      <c r="AD81" s="21">
        <f t="shared" si="15"/>
        <v>3.500171018</v>
      </c>
      <c r="AE81" s="21">
        <f t="shared" si="16"/>
        <v>-226090475.7</v>
      </c>
      <c r="AF81" s="21" t="str">
        <f t="shared" si="17"/>
        <v>Desceu</v>
      </c>
      <c r="AG81" s="20">
        <f t="shared" si="18"/>
        <v>-0.3683</v>
      </c>
      <c r="AH81" s="21">
        <f t="shared" si="19"/>
        <v>4.859901852</v>
      </c>
      <c r="AI81" s="21">
        <f t="shared" si="20"/>
        <v>-940741575.3</v>
      </c>
      <c r="AJ81" s="21" t="str">
        <f t="shared" si="21"/>
        <v>Desceu</v>
      </c>
    </row>
    <row r="82">
      <c r="A82" s="10" t="s">
        <v>195</v>
      </c>
      <c r="B82" s="11">
        <v>45317.0</v>
      </c>
      <c r="C82" s="12">
        <v>5.92</v>
      </c>
      <c r="D82" s="13">
        <v>-8.07</v>
      </c>
      <c r="E82" s="13">
        <v>-15.91</v>
      </c>
      <c r="F82" s="13">
        <v>-34.0</v>
      </c>
      <c r="G82" s="13">
        <v>-34.0</v>
      </c>
      <c r="H82" s="13">
        <v>-25.44</v>
      </c>
      <c r="I82" s="13">
        <v>6.02</v>
      </c>
      <c r="J82" s="13">
        <v>5.51</v>
      </c>
      <c r="K82" s="10" t="s">
        <v>196</v>
      </c>
      <c r="L82" s="14">
        <f t="shared" si="1"/>
        <v>-0.0807</v>
      </c>
      <c r="M82" s="15">
        <f t="shared" si="2"/>
        <v>6.439682367</v>
      </c>
      <c r="N82" s="16">
        <f>VLOOKUP(A82,'Total de Ações'!A:B,2,0)</f>
        <v>198184909</v>
      </c>
      <c r="O82" s="17">
        <f t="shared" si="3"/>
        <v>-102993202.6</v>
      </c>
      <c r="P82" s="18" t="str">
        <f t="shared" si="4"/>
        <v>Desceu</v>
      </c>
      <c r="Q82" s="18" t="str">
        <f>VLOOKUP(A82,Ticker!A:B,2,0)</f>
        <v>GOL</v>
      </c>
      <c r="R82" s="18" t="str">
        <f>VLOOKUP(Q82,ChatGpt!A:C,2,0)</f>
        <v>Transporte Aéreo</v>
      </c>
      <c r="S82" s="18">
        <f>VLOOKUP(Q82,ChatGpt!A:C,3,0)</f>
        <v>20</v>
      </c>
      <c r="T82" s="18" t="str">
        <f t="shared" si="5"/>
        <v>Menos de 50</v>
      </c>
      <c r="U82" s="18">
        <f t="shared" si="6"/>
        <v>-0.1591</v>
      </c>
      <c r="V82" s="19">
        <f t="shared" si="7"/>
        <v>7.040076109</v>
      </c>
      <c r="W82" s="17">
        <f t="shared" si="8"/>
        <v>-221982181.7</v>
      </c>
      <c r="X82" s="17" t="str">
        <f t="shared" si="9"/>
        <v>Desceu</v>
      </c>
      <c r="Y82" s="20">
        <f t="shared" si="10"/>
        <v>-0.34</v>
      </c>
      <c r="Z82" s="17">
        <f t="shared" si="11"/>
        <v>8.96969697</v>
      </c>
      <c r="AA82" s="17">
        <f t="shared" si="12"/>
        <v>-604403916.4</v>
      </c>
      <c r="AB82" s="17" t="str">
        <f t="shared" si="13"/>
        <v>Desceu</v>
      </c>
      <c r="AC82" s="20">
        <f t="shared" si="14"/>
        <v>-0.34</v>
      </c>
      <c r="AD82" s="21">
        <f t="shared" si="15"/>
        <v>8.96969697</v>
      </c>
      <c r="AE82" s="21">
        <f t="shared" si="16"/>
        <v>-604403916.4</v>
      </c>
      <c r="AF82" s="21" t="str">
        <f t="shared" si="17"/>
        <v>Desceu</v>
      </c>
      <c r="AG82" s="20">
        <f t="shared" si="18"/>
        <v>-0.2544</v>
      </c>
      <c r="AH82" s="21">
        <f t="shared" si="19"/>
        <v>7.939914163</v>
      </c>
      <c r="AI82" s="21">
        <f t="shared" si="20"/>
        <v>-400316504.6</v>
      </c>
      <c r="AJ82" s="21" t="str">
        <f t="shared" si="21"/>
        <v>Desceu</v>
      </c>
    </row>
    <row r="83">
      <c r="C83" s="23"/>
      <c r="L83" s="24"/>
      <c r="M83" s="25"/>
      <c r="N83" s="24"/>
      <c r="O83" s="26"/>
      <c r="P83" s="24"/>
      <c r="V83" s="23"/>
      <c r="W83" s="27"/>
      <c r="X83" s="27"/>
      <c r="Y83" s="28"/>
      <c r="Z83" s="27"/>
      <c r="AA83" s="27"/>
      <c r="AB83" s="27"/>
      <c r="AC83" s="28"/>
      <c r="AD83" s="29"/>
      <c r="AE83" s="29"/>
      <c r="AF83" s="29"/>
      <c r="AG83" s="28"/>
      <c r="AH83" s="29"/>
      <c r="AI83" s="29"/>
      <c r="AJ83" s="29"/>
    </row>
    <row r="84">
      <c r="C84" s="23"/>
      <c r="L84" s="24"/>
      <c r="M84" s="25"/>
      <c r="N84" s="24"/>
      <c r="O84" s="26"/>
      <c r="P84" s="24"/>
      <c r="V84" s="23"/>
      <c r="W84" s="27"/>
      <c r="X84" s="27"/>
      <c r="Y84" s="28"/>
      <c r="Z84" s="27"/>
      <c r="AA84" s="27"/>
      <c r="AB84" s="27"/>
      <c r="AC84" s="28"/>
      <c r="AD84" s="29"/>
      <c r="AE84" s="29"/>
      <c r="AF84" s="29"/>
      <c r="AG84" s="28"/>
      <c r="AH84" s="29"/>
      <c r="AI84" s="29"/>
      <c r="AJ84" s="29"/>
    </row>
    <row r="85">
      <c r="C85" s="23"/>
      <c r="L85" s="24"/>
      <c r="M85" s="25"/>
      <c r="N85" s="24"/>
      <c r="O85" s="26"/>
      <c r="P85" s="24"/>
      <c r="V85" s="23"/>
      <c r="W85" s="27"/>
      <c r="X85" s="27"/>
      <c r="Y85" s="28"/>
      <c r="Z85" s="27"/>
      <c r="AA85" s="27"/>
      <c r="AB85" s="27"/>
      <c r="AC85" s="28"/>
      <c r="AD85" s="29"/>
      <c r="AE85" s="29"/>
      <c r="AF85" s="29"/>
      <c r="AG85" s="28"/>
      <c r="AH85" s="29"/>
      <c r="AI85" s="29"/>
      <c r="AJ85" s="29"/>
    </row>
    <row r="86">
      <c r="C86" s="23"/>
      <c r="L86" s="24"/>
      <c r="M86" s="25"/>
      <c r="N86" s="24"/>
      <c r="O86" s="26"/>
      <c r="P86" s="24"/>
      <c r="V86" s="23"/>
      <c r="W86" s="27"/>
      <c r="X86" s="27"/>
      <c r="Y86" s="28"/>
      <c r="Z86" s="27"/>
      <c r="AA86" s="27"/>
      <c r="AB86" s="27"/>
      <c r="AC86" s="28"/>
      <c r="AD86" s="29"/>
      <c r="AE86" s="29"/>
      <c r="AF86" s="29"/>
      <c r="AG86" s="28"/>
      <c r="AH86" s="29"/>
      <c r="AI86" s="29"/>
      <c r="AJ86" s="29"/>
    </row>
    <row r="87">
      <c r="C87" s="23"/>
      <c r="L87" s="24"/>
      <c r="M87" s="25"/>
      <c r="N87" s="24"/>
      <c r="O87" s="26"/>
      <c r="P87" s="24"/>
      <c r="V87" s="23"/>
      <c r="W87" s="27"/>
      <c r="X87" s="27"/>
      <c r="Y87" s="28"/>
      <c r="Z87" s="27"/>
      <c r="AA87" s="27"/>
      <c r="AB87" s="27"/>
      <c r="AC87" s="28"/>
      <c r="AD87" s="29"/>
      <c r="AE87" s="29"/>
      <c r="AF87" s="29"/>
      <c r="AG87" s="28"/>
      <c r="AH87" s="29"/>
      <c r="AI87" s="29"/>
      <c r="AJ87" s="29"/>
    </row>
    <row r="88">
      <c r="C88" s="23"/>
      <c r="L88" s="24"/>
      <c r="M88" s="25"/>
      <c r="N88" s="24"/>
      <c r="O88" s="26"/>
      <c r="P88" s="24"/>
      <c r="V88" s="23"/>
      <c r="W88" s="27"/>
      <c r="X88" s="27"/>
      <c r="Y88" s="28"/>
      <c r="Z88" s="27"/>
      <c r="AA88" s="27"/>
      <c r="AB88" s="27"/>
      <c r="AC88" s="28"/>
      <c r="AD88" s="29"/>
      <c r="AE88" s="29"/>
      <c r="AF88" s="29"/>
      <c r="AG88" s="28"/>
      <c r="AH88" s="29"/>
      <c r="AI88" s="29"/>
      <c r="AJ88" s="29"/>
    </row>
    <row r="89">
      <c r="C89" s="23"/>
      <c r="L89" s="24"/>
      <c r="M89" s="25"/>
      <c r="N89" s="24"/>
      <c r="O89" s="26"/>
      <c r="P89" s="24"/>
      <c r="V89" s="23"/>
      <c r="W89" s="27"/>
      <c r="X89" s="27"/>
      <c r="Y89" s="28"/>
      <c r="Z89" s="27"/>
      <c r="AA89" s="27"/>
      <c r="AB89" s="27"/>
      <c r="AC89" s="28"/>
      <c r="AD89" s="29"/>
      <c r="AE89" s="29"/>
      <c r="AF89" s="29"/>
      <c r="AG89" s="28"/>
      <c r="AH89" s="29"/>
      <c r="AI89" s="29"/>
      <c r="AJ89" s="29"/>
    </row>
    <row r="90">
      <c r="C90" s="23"/>
      <c r="L90" s="24"/>
      <c r="M90" s="25"/>
      <c r="N90" s="24"/>
      <c r="O90" s="26"/>
      <c r="P90" s="24"/>
      <c r="V90" s="23"/>
      <c r="W90" s="27"/>
      <c r="X90" s="27"/>
      <c r="Y90" s="28"/>
      <c r="Z90" s="27"/>
      <c r="AA90" s="27"/>
      <c r="AB90" s="27"/>
      <c r="AC90" s="28"/>
      <c r="AD90" s="29"/>
      <c r="AE90" s="29"/>
      <c r="AF90" s="29"/>
      <c r="AG90" s="28"/>
      <c r="AH90" s="29"/>
      <c r="AI90" s="29"/>
      <c r="AJ90" s="29"/>
    </row>
    <row r="91">
      <c r="C91" s="23"/>
      <c r="L91" s="24"/>
      <c r="M91" s="25"/>
      <c r="N91" s="24"/>
      <c r="O91" s="26"/>
      <c r="P91" s="24"/>
      <c r="V91" s="23"/>
      <c r="W91" s="27"/>
      <c r="X91" s="27"/>
      <c r="Y91" s="28"/>
      <c r="Z91" s="27"/>
      <c r="AA91" s="27"/>
      <c r="AB91" s="27"/>
      <c r="AC91" s="28"/>
      <c r="AD91" s="29"/>
      <c r="AE91" s="29"/>
      <c r="AF91" s="29"/>
      <c r="AG91" s="28"/>
      <c r="AH91" s="29"/>
      <c r="AI91" s="29"/>
      <c r="AJ91" s="29"/>
    </row>
    <row r="92">
      <c r="C92" s="23"/>
      <c r="L92" s="24"/>
      <c r="M92" s="25"/>
      <c r="N92" s="24"/>
      <c r="O92" s="26"/>
      <c r="P92" s="24"/>
      <c r="V92" s="23"/>
      <c r="W92" s="27"/>
      <c r="X92" s="27"/>
      <c r="Y92" s="28"/>
      <c r="Z92" s="27"/>
      <c r="AA92" s="27"/>
      <c r="AB92" s="27"/>
      <c r="AC92" s="28"/>
      <c r="AD92" s="29"/>
      <c r="AE92" s="29"/>
      <c r="AF92" s="29"/>
      <c r="AG92" s="28"/>
      <c r="AH92" s="29"/>
      <c r="AI92" s="29"/>
      <c r="AJ92" s="29"/>
    </row>
    <row r="93">
      <c r="C93" s="23"/>
      <c r="L93" s="24"/>
      <c r="M93" s="25"/>
      <c r="N93" s="24"/>
      <c r="O93" s="26"/>
      <c r="P93" s="24"/>
      <c r="V93" s="23"/>
      <c r="W93" s="27"/>
      <c r="X93" s="27"/>
      <c r="Y93" s="28"/>
      <c r="Z93" s="27"/>
      <c r="AA93" s="27"/>
      <c r="AB93" s="27"/>
      <c r="AC93" s="28"/>
      <c r="AD93" s="29"/>
      <c r="AE93" s="29"/>
      <c r="AF93" s="29"/>
      <c r="AG93" s="28"/>
      <c r="AH93" s="29"/>
      <c r="AI93" s="29"/>
      <c r="AJ93" s="29"/>
    </row>
    <row r="94">
      <c r="C94" s="23"/>
      <c r="L94" s="24"/>
      <c r="M94" s="25"/>
      <c r="N94" s="24"/>
      <c r="O94" s="26"/>
      <c r="P94" s="24"/>
      <c r="V94" s="23"/>
      <c r="W94" s="27"/>
      <c r="X94" s="27"/>
      <c r="Y94" s="28"/>
      <c r="Z94" s="27"/>
      <c r="AA94" s="27"/>
      <c r="AB94" s="27"/>
      <c r="AC94" s="28"/>
      <c r="AD94" s="29"/>
      <c r="AE94" s="29"/>
      <c r="AF94" s="29"/>
      <c r="AG94" s="28"/>
      <c r="AH94" s="29"/>
      <c r="AI94" s="29"/>
      <c r="AJ94" s="29"/>
    </row>
    <row r="95">
      <c r="C95" s="23"/>
      <c r="L95" s="24"/>
      <c r="M95" s="25"/>
      <c r="N95" s="24"/>
      <c r="O95" s="26"/>
      <c r="P95" s="24"/>
      <c r="V95" s="23"/>
      <c r="W95" s="27"/>
      <c r="X95" s="27"/>
      <c r="Y95" s="28"/>
      <c r="Z95" s="27"/>
      <c r="AA95" s="27"/>
      <c r="AB95" s="27"/>
      <c r="AC95" s="28"/>
      <c r="AD95" s="29"/>
      <c r="AE95" s="29"/>
      <c r="AF95" s="29"/>
      <c r="AG95" s="28"/>
      <c r="AH95" s="29"/>
      <c r="AI95" s="29"/>
      <c r="AJ95" s="29"/>
    </row>
    <row r="96">
      <c r="C96" s="23"/>
      <c r="L96" s="24"/>
      <c r="M96" s="25"/>
      <c r="N96" s="24"/>
      <c r="O96" s="26"/>
      <c r="P96" s="24"/>
      <c r="V96" s="23"/>
      <c r="W96" s="27"/>
      <c r="X96" s="27"/>
      <c r="Y96" s="28"/>
      <c r="Z96" s="27"/>
      <c r="AA96" s="27"/>
      <c r="AB96" s="27"/>
      <c r="AC96" s="28"/>
      <c r="AD96" s="29"/>
      <c r="AE96" s="29"/>
      <c r="AF96" s="29"/>
      <c r="AG96" s="28"/>
      <c r="AH96" s="29"/>
      <c r="AI96" s="29"/>
      <c r="AJ96" s="29"/>
    </row>
    <row r="97">
      <c r="C97" s="23"/>
      <c r="L97" s="24"/>
      <c r="M97" s="25"/>
      <c r="N97" s="24"/>
      <c r="O97" s="26"/>
      <c r="P97" s="24"/>
      <c r="V97" s="23"/>
      <c r="W97" s="27"/>
      <c r="X97" s="27"/>
      <c r="Y97" s="28"/>
      <c r="Z97" s="27"/>
      <c r="AA97" s="27"/>
      <c r="AB97" s="27"/>
      <c r="AC97" s="28"/>
      <c r="AD97" s="29"/>
      <c r="AE97" s="29"/>
      <c r="AF97" s="29"/>
      <c r="AG97" s="28"/>
      <c r="AH97" s="29"/>
      <c r="AI97" s="29"/>
      <c r="AJ97" s="29"/>
    </row>
    <row r="98">
      <c r="C98" s="23"/>
      <c r="L98" s="24"/>
      <c r="M98" s="25"/>
      <c r="N98" s="24"/>
      <c r="O98" s="26"/>
      <c r="P98" s="24"/>
      <c r="V98" s="23"/>
      <c r="W98" s="27"/>
      <c r="X98" s="27"/>
      <c r="Y98" s="28"/>
      <c r="Z98" s="27"/>
      <c r="AA98" s="27"/>
      <c r="AB98" s="27"/>
      <c r="AC98" s="28"/>
      <c r="AD98" s="29"/>
      <c r="AE98" s="29"/>
      <c r="AF98" s="29"/>
      <c r="AG98" s="28"/>
      <c r="AH98" s="29"/>
      <c r="AI98" s="29"/>
      <c r="AJ98" s="29"/>
    </row>
    <row r="99">
      <c r="C99" s="23"/>
      <c r="L99" s="24"/>
      <c r="M99" s="25"/>
      <c r="N99" s="24"/>
      <c r="O99" s="26"/>
      <c r="P99" s="24"/>
      <c r="V99" s="23"/>
      <c r="W99" s="27"/>
      <c r="X99" s="27"/>
      <c r="Y99" s="28"/>
      <c r="Z99" s="27"/>
      <c r="AA99" s="27"/>
      <c r="AB99" s="27"/>
      <c r="AC99" s="28"/>
      <c r="AD99" s="29"/>
      <c r="AE99" s="29"/>
      <c r="AF99" s="29"/>
      <c r="AG99" s="28"/>
      <c r="AH99" s="29"/>
      <c r="AI99" s="29"/>
      <c r="AJ99" s="29"/>
    </row>
    <row r="100">
      <c r="C100" s="23"/>
      <c r="L100" s="24"/>
      <c r="M100" s="25"/>
      <c r="N100" s="24"/>
      <c r="O100" s="26"/>
      <c r="P100" s="24"/>
      <c r="V100" s="23"/>
      <c r="W100" s="27"/>
      <c r="X100" s="27"/>
      <c r="Y100" s="28"/>
      <c r="Z100" s="27"/>
      <c r="AA100" s="27"/>
      <c r="AB100" s="27"/>
      <c r="AC100" s="28"/>
      <c r="AD100" s="29"/>
      <c r="AE100" s="29"/>
      <c r="AF100" s="29"/>
      <c r="AG100" s="28"/>
      <c r="AH100" s="29"/>
      <c r="AI100" s="29"/>
      <c r="AJ100" s="29"/>
    </row>
    <row r="101">
      <c r="C101" s="23"/>
      <c r="L101" s="24"/>
      <c r="M101" s="25"/>
      <c r="N101" s="24"/>
      <c r="O101" s="26"/>
      <c r="P101" s="24"/>
      <c r="V101" s="23"/>
      <c r="W101" s="27"/>
      <c r="X101" s="27"/>
      <c r="Y101" s="28"/>
      <c r="Z101" s="27"/>
      <c r="AA101" s="27"/>
      <c r="AB101" s="27"/>
      <c r="AC101" s="28"/>
      <c r="AD101" s="29"/>
      <c r="AE101" s="29"/>
      <c r="AF101" s="29"/>
      <c r="AG101" s="28"/>
      <c r="AH101" s="29"/>
      <c r="AI101" s="29"/>
      <c r="AJ101" s="29"/>
    </row>
    <row r="102">
      <c r="C102" s="23"/>
      <c r="L102" s="24"/>
      <c r="M102" s="25"/>
      <c r="N102" s="24"/>
      <c r="O102" s="26"/>
      <c r="P102" s="24"/>
      <c r="V102" s="23"/>
      <c r="W102" s="27"/>
      <c r="X102" s="27"/>
      <c r="Y102" s="28"/>
      <c r="Z102" s="27"/>
      <c r="AA102" s="27"/>
      <c r="AB102" s="27"/>
      <c r="AC102" s="28"/>
      <c r="AD102" s="29"/>
      <c r="AE102" s="29"/>
      <c r="AF102" s="29"/>
      <c r="AG102" s="28"/>
      <c r="AH102" s="29"/>
      <c r="AI102" s="29"/>
      <c r="AJ102" s="29"/>
    </row>
    <row r="103">
      <c r="C103" s="23"/>
      <c r="L103" s="24"/>
      <c r="M103" s="25"/>
      <c r="N103" s="24"/>
      <c r="O103" s="26"/>
      <c r="P103" s="24"/>
      <c r="V103" s="23"/>
      <c r="W103" s="27"/>
      <c r="X103" s="27"/>
      <c r="Y103" s="28"/>
      <c r="Z103" s="27"/>
      <c r="AA103" s="27"/>
      <c r="AB103" s="27"/>
      <c r="AC103" s="28"/>
      <c r="AD103" s="29"/>
      <c r="AE103" s="29"/>
      <c r="AF103" s="29"/>
      <c r="AG103" s="28"/>
      <c r="AH103" s="29"/>
      <c r="AI103" s="29"/>
      <c r="AJ103" s="29"/>
    </row>
    <row r="104">
      <c r="C104" s="23"/>
      <c r="L104" s="24"/>
      <c r="M104" s="25"/>
      <c r="N104" s="24"/>
      <c r="O104" s="26"/>
      <c r="P104" s="24"/>
      <c r="V104" s="23"/>
      <c r="W104" s="27"/>
      <c r="X104" s="27"/>
      <c r="Y104" s="28"/>
      <c r="Z104" s="27"/>
      <c r="AA104" s="27"/>
      <c r="AB104" s="27"/>
      <c r="AC104" s="28"/>
      <c r="AD104" s="29"/>
      <c r="AE104" s="29"/>
      <c r="AF104" s="29"/>
      <c r="AG104" s="28"/>
      <c r="AH104" s="29"/>
      <c r="AI104" s="29"/>
      <c r="AJ104" s="29"/>
    </row>
    <row r="105">
      <c r="C105" s="23"/>
      <c r="L105" s="24"/>
      <c r="M105" s="25"/>
      <c r="N105" s="24"/>
      <c r="O105" s="26"/>
      <c r="P105" s="24"/>
      <c r="V105" s="23"/>
      <c r="W105" s="27"/>
      <c r="X105" s="27"/>
      <c r="Y105" s="28"/>
      <c r="Z105" s="27"/>
      <c r="AA105" s="27"/>
      <c r="AB105" s="27"/>
      <c r="AC105" s="28"/>
      <c r="AD105" s="29"/>
      <c r="AE105" s="29"/>
      <c r="AF105" s="29"/>
      <c r="AG105" s="28"/>
      <c r="AH105" s="29"/>
      <c r="AI105" s="29"/>
      <c r="AJ105" s="29"/>
    </row>
    <row r="106">
      <c r="C106" s="23"/>
      <c r="L106" s="24"/>
      <c r="M106" s="25"/>
      <c r="N106" s="24"/>
      <c r="O106" s="26"/>
      <c r="P106" s="24"/>
      <c r="V106" s="23"/>
      <c r="W106" s="27"/>
      <c r="X106" s="27"/>
      <c r="Y106" s="28"/>
      <c r="Z106" s="27"/>
      <c r="AA106" s="27"/>
      <c r="AB106" s="27"/>
      <c r="AC106" s="28"/>
      <c r="AD106" s="29"/>
      <c r="AE106" s="29"/>
      <c r="AF106" s="29"/>
      <c r="AG106" s="28"/>
      <c r="AH106" s="29"/>
      <c r="AI106" s="29"/>
      <c r="AJ106" s="29"/>
    </row>
    <row r="107">
      <c r="C107" s="23"/>
      <c r="L107" s="24"/>
      <c r="M107" s="25"/>
      <c r="N107" s="24"/>
      <c r="O107" s="26"/>
      <c r="P107" s="24"/>
      <c r="V107" s="23"/>
      <c r="W107" s="27"/>
      <c r="X107" s="27"/>
      <c r="Y107" s="28"/>
      <c r="Z107" s="27"/>
      <c r="AA107" s="27"/>
      <c r="AB107" s="27"/>
      <c r="AC107" s="28"/>
      <c r="AD107" s="29"/>
      <c r="AE107" s="29"/>
      <c r="AF107" s="29"/>
      <c r="AG107" s="28"/>
      <c r="AH107" s="29"/>
      <c r="AI107" s="29"/>
      <c r="AJ107" s="29"/>
    </row>
    <row r="108">
      <c r="C108" s="23"/>
      <c r="L108" s="24"/>
      <c r="M108" s="25"/>
      <c r="N108" s="24"/>
      <c r="O108" s="26"/>
      <c r="P108" s="24"/>
      <c r="V108" s="23"/>
      <c r="W108" s="27"/>
      <c r="X108" s="27"/>
      <c r="Y108" s="28"/>
      <c r="Z108" s="27"/>
      <c r="AA108" s="27"/>
      <c r="AB108" s="27"/>
      <c r="AC108" s="28"/>
      <c r="AD108" s="29"/>
      <c r="AE108" s="29"/>
      <c r="AF108" s="29"/>
      <c r="AG108" s="28"/>
      <c r="AH108" s="29"/>
      <c r="AI108" s="29"/>
      <c r="AJ108" s="29"/>
    </row>
    <row r="109">
      <c r="C109" s="23"/>
      <c r="L109" s="24"/>
      <c r="M109" s="25"/>
      <c r="N109" s="24"/>
      <c r="O109" s="26"/>
      <c r="P109" s="24"/>
      <c r="V109" s="23"/>
      <c r="W109" s="27"/>
      <c r="X109" s="27"/>
      <c r="Y109" s="28"/>
      <c r="Z109" s="27"/>
      <c r="AA109" s="27"/>
      <c r="AB109" s="27"/>
      <c r="AC109" s="28"/>
      <c r="AD109" s="29"/>
      <c r="AE109" s="29"/>
      <c r="AF109" s="29"/>
      <c r="AG109" s="28"/>
      <c r="AH109" s="29"/>
      <c r="AI109" s="29"/>
      <c r="AJ109" s="29"/>
    </row>
    <row r="110">
      <c r="C110" s="23"/>
      <c r="L110" s="24"/>
      <c r="M110" s="25"/>
      <c r="N110" s="24"/>
      <c r="O110" s="26"/>
      <c r="P110" s="24"/>
      <c r="V110" s="23"/>
      <c r="W110" s="27"/>
      <c r="X110" s="27"/>
      <c r="Y110" s="28"/>
      <c r="Z110" s="27"/>
      <c r="AA110" s="27"/>
      <c r="AB110" s="27"/>
      <c r="AC110" s="28"/>
      <c r="AD110" s="29"/>
      <c r="AE110" s="29"/>
      <c r="AF110" s="29"/>
      <c r="AG110" s="28"/>
      <c r="AH110" s="29"/>
      <c r="AI110" s="29"/>
      <c r="AJ110" s="29"/>
    </row>
    <row r="111">
      <c r="C111" s="23"/>
      <c r="L111" s="24"/>
      <c r="M111" s="25"/>
      <c r="N111" s="24"/>
      <c r="O111" s="26"/>
      <c r="P111" s="24"/>
      <c r="V111" s="23"/>
      <c r="W111" s="27"/>
      <c r="X111" s="27"/>
      <c r="Y111" s="28"/>
      <c r="Z111" s="27"/>
      <c r="AA111" s="27"/>
      <c r="AB111" s="27"/>
      <c r="AC111" s="28"/>
      <c r="AD111" s="29"/>
      <c r="AE111" s="29"/>
      <c r="AF111" s="29"/>
      <c r="AG111" s="28"/>
      <c r="AH111" s="29"/>
      <c r="AI111" s="29"/>
      <c r="AJ111" s="29"/>
    </row>
    <row r="112">
      <c r="C112" s="23"/>
      <c r="L112" s="24"/>
      <c r="M112" s="25"/>
      <c r="N112" s="24"/>
      <c r="O112" s="26"/>
      <c r="P112" s="24"/>
      <c r="V112" s="23"/>
      <c r="W112" s="27"/>
      <c r="X112" s="27"/>
      <c r="Y112" s="28"/>
      <c r="Z112" s="27"/>
      <c r="AA112" s="27"/>
      <c r="AB112" s="27"/>
      <c r="AC112" s="28"/>
      <c r="AD112" s="29"/>
      <c r="AE112" s="29"/>
      <c r="AF112" s="29"/>
      <c r="AG112" s="28"/>
      <c r="AH112" s="29"/>
      <c r="AI112" s="29"/>
      <c r="AJ112" s="29"/>
    </row>
    <row r="113">
      <c r="C113" s="23"/>
      <c r="L113" s="24"/>
      <c r="M113" s="25"/>
      <c r="N113" s="24"/>
      <c r="O113" s="26"/>
      <c r="P113" s="24"/>
      <c r="V113" s="23"/>
      <c r="W113" s="27"/>
      <c r="X113" s="27"/>
      <c r="Y113" s="28"/>
      <c r="Z113" s="27"/>
      <c r="AA113" s="27"/>
      <c r="AB113" s="27"/>
      <c r="AC113" s="28"/>
      <c r="AD113" s="29"/>
      <c r="AE113" s="29"/>
      <c r="AF113" s="29"/>
      <c r="AG113" s="28"/>
      <c r="AH113" s="29"/>
      <c r="AI113" s="29"/>
      <c r="AJ113" s="29"/>
    </row>
    <row r="114">
      <c r="C114" s="23"/>
      <c r="L114" s="24"/>
      <c r="M114" s="25"/>
      <c r="N114" s="24"/>
      <c r="O114" s="26"/>
      <c r="P114" s="24"/>
      <c r="V114" s="23"/>
      <c r="W114" s="27"/>
      <c r="X114" s="27"/>
      <c r="Y114" s="28"/>
      <c r="Z114" s="27"/>
      <c r="AA114" s="27"/>
      <c r="AB114" s="27"/>
      <c r="AC114" s="28"/>
      <c r="AD114" s="29"/>
      <c r="AE114" s="29"/>
      <c r="AF114" s="29"/>
      <c r="AG114" s="28"/>
      <c r="AH114" s="29"/>
      <c r="AI114" s="29"/>
      <c r="AJ114" s="29"/>
    </row>
    <row r="115">
      <c r="C115" s="23"/>
      <c r="L115" s="24"/>
      <c r="M115" s="25"/>
      <c r="N115" s="24"/>
      <c r="O115" s="26"/>
      <c r="P115" s="24"/>
      <c r="V115" s="23"/>
      <c r="W115" s="27"/>
      <c r="X115" s="27"/>
      <c r="Y115" s="28"/>
      <c r="Z115" s="27"/>
      <c r="AA115" s="27"/>
      <c r="AB115" s="27"/>
      <c r="AC115" s="28"/>
      <c r="AD115" s="29"/>
      <c r="AE115" s="29"/>
      <c r="AF115" s="29"/>
      <c r="AG115" s="28"/>
      <c r="AH115" s="29"/>
      <c r="AI115" s="29"/>
      <c r="AJ115" s="29"/>
    </row>
    <row r="116">
      <c r="C116" s="23"/>
      <c r="L116" s="24"/>
      <c r="M116" s="25"/>
      <c r="N116" s="24"/>
      <c r="O116" s="26"/>
      <c r="P116" s="24"/>
      <c r="V116" s="23"/>
      <c r="W116" s="27"/>
      <c r="X116" s="27"/>
      <c r="Y116" s="28"/>
      <c r="Z116" s="27"/>
      <c r="AA116" s="27"/>
      <c r="AB116" s="27"/>
      <c r="AC116" s="28"/>
      <c r="AD116" s="29"/>
      <c r="AE116" s="29"/>
      <c r="AF116" s="29"/>
      <c r="AG116" s="28"/>
      <c r="AH116" s="29"/>
      <c r="AI116" s="29"/>
      <c r="AJ116" s="29"/>
    </row>
    <row r="117">
      <c r="C117" s="23"/>
      <c r="L117" s="24"/>
      <c r="M117" s="25"/>
      <c r="N117" s="24"/>
      <c r="O117" s="26"/>
      <c r="P117" s="24"/>
      <c r="V117" s="23"/>
      <c r="W117" s="27"/>
      <c r="X117" s="27"/>
      <c r="Y117" s="28"/>
      <c r="Z117" s="27"/>
      <c r="AA117" s="27"/>
      <c r="AB117" s="27"/>
      <c r="AC117" s="28"/>
      <c r="AD117" s="29"/>
      <c r="AE117" s="29"/>
      <c r="AF117" s="29"/>
      <c r="AG117" s="28"/>
      <c r="AH117" s="29"/>
      <c r="AI117" s="29"/>
      <c r="AJ117" s="29"/>
    </row>
    <row r="118">
      <c r="C118" s="23"/>
      <c r="L118" s="24"/>
      <c r="M118" s="25"/>
      <c r="N118" s="24"/>
      <c r="O118" s="26"/>
      <c r="P118" s="24"/>
      <c r="V118" s="23"/>
      <c r="W118" s="27"/>
      <c r="X118" s="27"/>
      <c r="Y118" s="28"/>
      <c r="Z118" s="27"/>
      <c r="AA118" s="27"/>
      <c r="AB118" s="27"/>
      <c r="AC118" s="28"/>
      <c r="AD118" s="29"/>
      <c r="AE118" s="29"/>
      <c r="AF118" s="29"/>
      <c r="AG118" s="28"/>
      <c r="AH118" s="29"/>
      <c r="AI118" s="29"/>
      <c r="AJ118" s="29"/>
    </row>
    <row r="119">
      <c r="C119" s="23"/>
      <c r="L119" s="24"/>
      <c r="M119" s="25"/>
      <c r="N119" s="24"/>
      <c r="O119" s="26"/>
      <c r="P119" s="24"/>
      <c r="V119" s="23"/>
      <c r="W119" s="27"/>
      <c r="X119" s="27"/>
      <c r="Y119" s="28"/>
      <c r="Z119" s="27"/>
      <c r="AA119" s="27"/>
      <c r="AB119" s="27"/>
      <c r="AC119" s="28"/>
      <c r="AD119" s="29"/>
      <c r="AE119" s="29"/>
      <c r="AF119" s="29"/>
      <c r="AG119" s="28"/>
      <c r="AH119" s="29"/>
      <c r="AI119" s="29"/>
      <c r="AJ119" s="29"/>
    </row>
    <row r="120">
      <c r="C120" s="23"/>
      <c r="L120" s="24"/>
      <c r="M120" s="25"/>
      <c r="N120" s="24"/>
      <c r="O120" s="26"/>
      <c r="P120" s="24"/>
      <c r="V120" s="23"/>
      <c r="W120" s="27"/>
      <c r="X120" s="27"/>
      <c r="Y120" s="28"/>
      <c r="Z120" s="27"/>
      <c r="AA120" s="27"/>
      <c r="AB120" s="27"/>
      <c r="AC120" s="28"/>
      <c r="AD120" s="29"/>
      <c r="AE120" s="29"/>
      <c r="AF120" s="29"/>
      <c r="AG120" s="28"/>
      <c r="AH120" s="29"/>
      <c r="AI120" s="29"/>
      <c r="AJ120" s="29"/>
    </row>
    <row r="121">
      <c r="C121" s="23"/>
      <c r="L121" s="24"/>
      <c r="M121" s="25"/>
      <c r="N121" s="24"/>
      <c r="O121" s="26"/>
      <c r="P121" s="24"/>
      <c r="V121" s="23"/>
      <c r="W121" s="27"/>
      <c r="X121" s="27"/>
      <c r="Y121" s="28"/>
      <c r="Z121" s="27"/>
      <c r="AA121" s="27"/>
      <c r="AB121" s="27"/>
      <c r="AC121" s="28"/>
      <c r="AD121" s="29"/>
      <c r="AE121" s="29"/>
      <c r="AF121" s="29"/>
      <c r="AG121" s="28"/>
      <c r="AH121" s="29"/>
      <c r="AI121" s="29"/>
      <c r="AJ121" s="29"/>
    </row>
    <row r="122">
      <c r="C122" s="23"/>
      <c r="L122" s="24"/>
      <c r="M122" s="25"/>
      <c r="N122" s="24"/>
      <c r="O122" s="26"/>
      <c r="P122" s="24"/>
      <c r="V122" s="23"/>
      <c r="W122" s="27"/>
      <c r="X122" s="27"/>
      <c r="Y122" s="28"/>
      <c r="Z122" s="27"/>
      <c r="AA122" s="27"/>
      <c r="AB122" s="27"/>
      <c r="AC122" s="28"/>
      <c r="AD122" s="29"/>
      <c r="AE122" s="29"/>
      <c r="AF122" s="29"/>
      <c r="AG122" s="28"/>
      <c r="AH122" s="29"/>
      <c r="AI122" s="29"/>
      <c r="AJ122" s="29"/>
    </row>
    <row r="123">
      <c r="C123" s="23"/>
      <c r="L123" s="24"/>
      <c r="M123" s="25"/>
      <c r="N123" s="24"/>
      <c r="O123" s="26"/>
      <c r="P123" s="24"/>
      <c r="V123" s="23"/>
      <c r="W123" s="27"/>
      <c r="X123" s="27"/>
      <c r="Y123" s="28"/>
      <c r="Z123" s="27"/>
      <c r="AA123" s="27"/>
      <c r="AB123" s="27"/>
      <c r="AC123" s="28"/>
      <c r="AD123" s="29"/>
      <c r="AE123" s="29"/>
      <c r="AF123" s="29"/>
      <c r="AG123" s="28"/>
      <c r="AH123" s="29"/>
      <c r="AI123" s="29"/>
      <c r="AJ123" s="29"/>
    </row>
    <row r="124">
      <c r="C124" s="23"/>
      <c r="L124" s="24"/>
      <c r="M124" s="25"/>
      <c r="N124" s="24"/>
      <c r="O124" s="26"/>
      <c r="P124" s="24"/>
      <c r="V124" s="23"/>
      <c r="W124" s="27"/>
      <c r="X124" s="27"/>
      <c r="Y124" s="28"/>
      <c r="Z124" s="27"/>
      <c r="AA124" s="27"/>
      <c r="AB124" s="27"/>
      <c r="AC124" s="28"/>
      <c r="AD124" s="29"/>
      <c r="AE124" s="29"/>
      <c r="AF124" s="29"/>
      <c r="AG124" s="28"/>
      <c r="AH124" s="29"/>
      <c r="AI124" s="29"/>
      <c r="AJ124" s="29"/>
    </row>
    <row r="125">
      <c r="C125" s="23"/>
      <c r="L125" s="24"/>
      <c r="M125" s="25"/>
      <c r="N125" s="24"/>
      <c r="O125" s="26"/>
      <c r="P125" s="24"/>
      <c r="V125" s="23"/>
      <c r="W125" s="27"/>
      <c r="X125" s="27"/>
      <c r="Y125" s="28"/>
      <c r="Z125" s="27"/>
      <c r="AA125" s="27"/>
      <c r="AB125" s="27"/>
      <c r="AC125" s="28"/>
      <c r="AD125" s="29"/>
      <c r="AE125" s="29"/>
      <c r="AF125" s="29"/>
      <c r="AG125" s="28"/>
      <c r="AH125" s="29"/>
      <c r="AI125" s="29"/>
      <c r="AJ125" s="29"/>
    </row>
    <row r="126">
      <c r="C126" s="23"/>
      <c r="L126" s="24"/>
      <c r="M126" s="25"/>
      <c r="N126" s="24"/>
      <c r="O126" s="26"/>
      <c r="P126" s="24"/>
      <c r="V126" s="23"/>
      <c r="W126" s="27"/>
      <c r="X126" s="27"/>
      <c r="Y126" s="28"/>
      <c r="Z126" s="27"/>
      <c r="AA126" s="27"/>
      <c r="AB126" s="27"/>
      <c r="AC126" s="28"/>
      <c r="AD126" s="29"/>
      <c r="AE126" s="29"/>
      <c r="AF126" s="29"/>
      <c r="AG126" s="28"/>
      <c r="AH126" s="29"/>
      <c r="AI126" s="29"/>
      <c r="AJ126" s="29"/>
    </row>
    <row r="127">
      <c r="C127" s="23"/>
      <c r="L127" s="24"/>
      <c r="M127" s="25"/>
      <c r="N127" s="24"/>
      <c r="O127" s="26"/>
      <c r="P127" s="24"/>
      <c r="V127" s="23"/>
      <c r="W127" s="27"/>
      <c r="X127" s="27"/>
      <c r="Y127" s="28"/>
      <c r="Z127" s="27"/>
      <c r="AA127" s="27"/>
      <c r="AB127" s="27"/>
      <c r="AC127" s="28"/>
      <c r="AD127" s="29"/>
      <c r="AE127" s="29"/>
      <c r="AF127" s="29"/>
      <c r="AG127" s="28"/>
      <c r="AH127" s="29"/>
      <c r="AI127" s="29"/>
      <c r="AJ127" s="29"/>
    </row>
    <row r="128">
      <c r="C128" s="23"/>
      <c r="L128" s="24"/>
      <c r="M128" s="25"/>
      <c r="N128" s="24"/>
      <c r="O128" s="26"/>
      <c r="P128" s="24"/>
      <c r="V128" s="23"/>
      <c r="W128" s="27"/>
      <c r="X128" s="27"/>
      <c r="Y128" s="28"/>
      <c r="Z128" s="27"/>
      <c r="AA128" s="27"/>
      <c r="AB128" s="27"/>
      <c r="AC128" s="28"/>
      <c r="AD128" s="29"/>
      <c r="AE128" s="29"/>
      <c r="AF128" s="29"/>
      <c r="AG128" s="28"/>
      <c r="AH128" s="29"/>
      <c r="AI128" s="29"/>
      <c r="AJ128" s="29"/>
    </row>
    <row r="129">
      <c r="C129" s="23"/>
      <c r="L129" s="24"/>
      <c r="M129" s="25"/>
      <c r="N129" s="24"/>
      <c r="O129" s="26"/>
      <c r="P129" s="24"/>
      <c r="V129" s="23"/>
      <c r="W129" s="27"/>
      <c r="X129" s="27"/>
      <c r="Y129" s="28"/>
      <c r="Z129" s="27"/>
      <c r="AA129" s="27"/>
      <c r="AB129" s="27"/>
      <c r="AC129" s="28"/>
      <c r="AD129" s="29"/>
      <c r="AE129" s="29"/>
      <c r="AF129" s="29"/>
      <c r="AG129" s="28"/>
      <c r="AH129" s="29"/>
      <c r="AI129" s="29"/>
      <c r="AJ129" s="29"/>
    </row>
    <row r="130">
      <c r="C130" s="23"/>
      <c r="L130" s="24"/>
      <c r="M130" s="25"/>
      <c r="N130" s="24"/>
      <c r="O130" s="26"/>
      <c r="P130" s="24"/>
      <c r="V130" s="23"/>
      <c r="W130" s="27"/>
      <c r="X130" s="27"/>
      <c r="Y130" s="28"/>
      <c r="Z130" s="27"/>
      <c r="AA130" s="27"/>
      <c r="AB130" s="27"/>
      <c r="AC130" s="28"/>
      <c r="AD130" s="29"/>
      <c r="AE130" s="29"/>
      <c r="AF130" s="29"/>
      <c r="AG130" s="28"/>
      <c r="AH130" s="29"/>
      <c r="AI130" s="29"/>
      <c r="AJ130" s="29"/>
    </row>
    <row r="131">
      <c r="C131" s="23"/>
      <c r="L131" s="24"/>
      <c r="M131" s="25"/>
      <c r="N131" s="24"/>
      <c r="O131" s="26"/>
      <c r="P131" s="24"/>
      <c r="V131" s="23"/>
      <c r="W131" s="27"/>
      <c r="X131" s="27"/>
      <c r="Y131" s="28"/>
      <c r="Z131" s="27"/>
      <c r="AA131" s="27"/>
      <c r="AB131" s="27"/>
      <c r="AC131" s="28"/>
      <c r="AD131" s="29"/>
      <c r="AE131" s="29"/>
      <c r="AF131" s="29"/>
      <c r="AG131" s="28"/>
      <c r="AH131" s="29"/>
      <c r="AI131" s="29"/>
      <c r="AJ131" s="29"/>
    </row>
    <row r="132">
      <c r="C132" s="23"/>
      <c r="L132" s="24"/>
      <c r="M132" s="25"/>
      <c r="N132" s="24"/>
      <c r="O132" s="26"/>
      <c r="P132" s="24"/>
      <c r="V132" s="23"/>
      <c r="W132" s="27"/>
      <c r="X132" s="27"/>
      <c r="Y132" s="28"/>
      <c r="Z132" s="27"/>
      <c r="AA132" s="27"/>
      <c r="AB132" s="27"/>
      <c r="AC132" s="28"/>
      <c r="AD132" s="29"/>
      <c r="AE132" s="29"/>
      <c r="AF132" s="29"/>
      <c r="AG132" s="28"/>
      <c r="AH132" s="29"/>
      <c r="AI132" s="29"/>
      <c r="AJ132" s="29"/>
    </row>
    <row r="133">
      <c r="C133" s="23"/>
      <c r="L133" s="24"/>
      <c r="M133" s="25"/>
      <c r="N133" s="24"/>
      <c r="O133" s="26"/>
      <c r="P133" s="24"/>
      <c r="V133" s="23"/>
      <c r="W133" s="27"/>
      <c r="X133" s="27"/>
      <c r="Y133" s="28"/>
      <c r="Z133" s="27"/>
      <c r="AA133" s="27"/>
      <c r="AB133" s="27"/>
      <c r="AC133" s="28"/>
      <c r="AD133" s="29"/>
      <c r="AE133" s="29"/>
      <c r="AF133" s="29"/>
      <c r="AG133" s="28"/>
      <c r="AH133" s="29"/>
      <c r="AI133" s="29"/>
      <c r="AJ133" s="29"/>
    </row>
    <row r="134">
      <c r="C134" s="23"/>
      <c r="L134" s="24"/>
      <c r="M134" s="25"/>
      <c r="N134" s="24"/>
      <c r="O134" s="26"/>
      <c r="P134" s="24"/>
      <c r="V134" s="23"/>
      <c r="W134" s="27"/>
      <c r="X134" s="27"/>
      <c r="Y134" s="28"/>
      <c r="Z134" s="27"/>
      <c r="AA134" s="27"/>
      <c r="AB134" s="27"/>
      <c r="AC134" s="28"/>
      <c r="AD134" s="29"/>
      <c r="AE134" s="29"/>
      <c r="AF134" s="29"/>
      <c r="AG134" s="28"/>
      <c r="AH134" s="29"/>
      <c r="AI134" s="29"/>
      <c r="AJ134" s="29"/>
    </row>
    <row r="135">
      <c r="C135" s="23"/>
      <c r="L135" s="24"/>
      <c r="M135" s="25"/>
      <c r="N135" s="24"/>
      <c r="O135" s="26"/>
      <c r="P135" s="24"/>
      <c r="V135" s="23"/>
      <c r="W135" s="27"/>
      <c r="X135" s="27"/>
      <c r="Y135" s="28"/>
      <c r="Z135" s="27"/>
      <c r="AA135" s="27"/>
      <c r="AB135" s="27"/>
      <c r="AC135" s="28"/>
      <c r="AD135" s="29"/>
      <c r="AE135" s="29"/>
      <c r="AF135" s="29"/>
      <c r="AG135" s="28"/>
      <c r="AH135" s="29"/>
      <c r="AI135" s="29"/>
      <c r="AJ135" s="29"/>
    </row>
    <row r="136">
      <c r="C136" s="23"/>
      <c r="L136" s="24"/>
      <c r="M136" s="25"/>
      <c r="N136" s="24"/>
      <c r="O136" s="26"/>
      <c r="P136" s="24"/>
      <c r="V136" s="23"/>
      <c r="W136" s="27"/>
      <c r="X136" s="27"/>
      <c r="Y136" s="28"/>
      <c r="Z136" s="27"/>
      <c r="AA136" s="27"/>
      <c r="AB136" s="27"/>
      <c r="AC136" s="28"/>
      <c r="AD136" s="29"/>
      <c r="AE136" s="29"/>
      <c r="AF136" s="29"/>
      <c r="AG136" s="28"/>
      <c r="AH136" s="29"/>
      <c r="AI136" s="29"/>
      <c r="AJ136" s="29"/>
    </row>
    <row r="137">
      <c r="C137" s="23"/>
      <c r="L137" s="24"/>
      <c r="M137" s="25"/>
      <c r="N137" s="24"/>
      <c r="O137" s="26"/>
      <c r="P137" s="24"/>
      <c r="V137" s="23"/>
      <c r="W137" s="27"/>
      <c r="X137" s="27"/>
      <c r="Y137" s="28"/>
      <c r="Z137" s="27"/>
      <c r="AA137" s="27"/>
      <c r="AB137" s="27"/>
      <c r="AC137" s="28"/>
      <c r="AD137" s="29"/>
      <c r="AE137" s="29"/>
      <c r="AF137" s="29"/>
      <c r="AG137" s="28"/>
      <c r="AH137" s="29"/>
      <c r="AI137" s="29"/>
      <c r="AJ137" s="29"/>
    </row>
    <row r="138">
      <c r="C138" s="23"/>
      <c r="L138" s="24"/>
      <c r="M138" s="25"/>
      <c r="N138" s="24"/>
      <c r="O138" s="26"/>
      <c r="P138" s="24"/>
      <c r="V138" s="23"/>
      <c r="W138" s="27"/>
      <c r="X138" s="27"/>
      <c r="Y138" s="28"/>
      <c r="Z138" s="27"/>
      <c r="AA138" s="27"/>
      <c r="AB138" s="27"/>
      <c r="AC138" s="28"/>
      <c r="AD138" s="29"/>
      <c r="AE138" s="29"/>
      <c r="AF138" s="29"/>
      <c r="AG138" s="28"/>
      <c r="AH138" s="29"/>
      <c r="AI138" s="29"/>
      <c r="AJ138" s="29"/>
    </row>
    <row r="139">
      <c r="C139" s="23"/>
      <c r="L139" s="24"/>
      <c r="M139" s="25"/>
      <c r="N139" s="24"/>
      <c r="O139" s="26"/>
      <c r="P139" s="24"/>
      <c r="V139" s="23"/>
      <c r="W139" s="27"/>
      <c r="X139" s="27"/>
      <c r="Y139" s="28"/>
      <c r="Z139" s="27"/>
      <c r="AA139" s="27"/>
      <c r="AB139" s="27"/>
      <c r="AC139" s="28"/>
      <c r="AD139" s="29"/>
      <c r="AE139" s="29"/>
      <c r="AF139" s="29"/>
      <c r="AG139" s="28"/>
      <c r="AH139" s="29"/>
      <c r="AI139" s="29"/>
      <c r="AJ139" s="29"/>
    </row>
    <row r="140">
      <c r="C140" s="23"/>
      <c r="L140" s="24"/>
      <c r="M140" s="25"/>
      <c r="N140" s="24"/>
      <c r="O140" s="26"/>
      <c r="P140" s="24"/>
      <c r="V140" s="23"/>
      <c r="W140" s="27"/>
      <c r="X140" s="27"/>
      <c r="Y140" s="28"/>
      <c r="Z140" s="27"/>
      <c r="AA140" s="27"/>
      <c r="AB140" s="27"/>
      <c r="AC140" s="28"/>
      <c r="AD140" s="29"/>
      <c r="AE140" s="29"/>
      <c r="AF140" s="29"/>
      <c r="AG140" s="28"/>
      <c r="AH140" s="29"/>
      <c r="AI140" s="29"/>
      <c r="AJ140" s="29"/>
    </row>
    <row r="141">
      <c r="C141" s="23"/>
      <c r="L141" s="24"/>
      <c r="M141" s="25"/>
      <c r="N141" s="24"/>
      <c r="O141" s="26"/>
      <c r="P141" s="24"/>
      <c r="V141" s="23"/>
      <c r="W141" s="27"/>
      <c r="X141" s="27"/>
      <c r="Y141" s="28"/>
      <c r="Z141" s="27"/>
      <c r="AA141" s="27"/>
      <c r="AB141" s="27"/>
      <c r="AC141" s="28"/>
      <c r="AD141" s="29"/>
      <c r="AE141" s="29"/>
      <c r="AF141" s="29"/>
      <c r="AG141" s="28"/>
      <c r="AH141" s="29"/>
      <c r="AI141" s="29"/>
      <c r="AJ141" s="29"/>
    </row>
    <row r="142">
      <c r="C142" s="23"/>
      <c r="L142" s="24"/>
      <c r="M142" s="25"/>
      <c r="N142" s="24"/>
      <c r="O142" s="26"/>
      <c r="P142" s="24"/>
      <c r="V142" s="23"/>
      <c r="W142" s="27"/>
      <c r="X142" s="27"/>
      <c r="Y142" s="28"/>
      <c r="Z142" s="27"/>
      <c r="AA142" s="27"/>
      <c r="AB142" s="27"/>
      <c r="AC142" s="28"/>
      <c r="AD142" s="29"/>
      <c r="AE142" s="29"/>
      <c r="AF142" s="29"/>
      <c r="AG142" s="28"/>
      <c r="AH142" s="29"/>
      <c r="AI142" s="29"/>
      <c r="AJ142" s="29"/>
    </row>
    <row r="143">
      <c r="C143" s="23"/>
      <c r="L143" s="24"/>
      <c r="M143" s="25"/>
      <c r="N143" s="24"/>
      <c r="O143" s="26"/>
      <c r="P143" s="24"/>
      <c r="V143" s="23"/>
      <c r="W143" s="27"/>
      <c r="X143" s="27"/>
      <c r="Y143" s="28"/>
      <c r="Z143" s="27"/>
      <c r="AA143" s="27"/>
      <c r="AB143" s="27"/>
      <c r="AC143" s="28"/>
      <c r="AD143" s="29"/>
      <c r="AE143" s="29"/>
      <c r="AF143" s="29"/>
      <c r="AG143" s="28"/>
      <c r="AH143" s="29"/>
      <c r="AI143" s="29"/>
      <c r="AJ143" s="29"/>
    </row>
    <row r="144">
      <c r="C144" s="23"/>
      <c r="L144" s="24"/>
      <c r="M144" s="25"/>
      <c r="N144" s="24"/>
      <c r="O144" s="26"/>
      <c r="P144" s="24"/>
      <c r="V144" s="23"/>
      <c r="W144" s="27"/>
      <c r="X144" s="27"/>
      <c r="Y144" s="28"/>
      <c r="Z144" s="27"/>
      <c r="AA144" s="27"/>
      <c r="AB144" s="27"/>
      <c r="AC144" s="28"/>
      <c r="AD144" s="29"/>
      <c r="AE144" s="29"/>
      <c r="AF144" s="29"/>
      <c r="AG144" s="28"/>
      <c r="AH144" s="29"/>
      <c r="AI144" s="29"/>
      <c r="AJ144" s="29"/>
    </row>
    <row r="145">
      <c r="C145" s="23"/>
      <c r="L145" s="24"/>
      <c r="M145" s="25"/>
      <c r="N145" s="24"/>
      <c r="O145" s="26"/>
      <c r="P145" s="24"/>
      <c r="V145" s="23"/>
      <c r="W145" s="27"/>
      <c r="X145" s="27"/>
      <c r="Y145" s="28"/>
      <c r="Z145" s="27"/>
      <c r="AA145" s="27"/>
      <c r="AB145" s="27"/>
      <c r="AC145" s="28"/>
      <c r="AD145" s="29"/>
      <c r="AE145" s="29"/>
      <c r="AF145" s="29"/>
      <c r="AG145" s="28"/>
      <c r="AH145" s="29"/>
      <c r="AI145" s="29"/>
      <c r="AJ145" s="29"/>
    </row>
    <row r="146">
      <c r="C146" s="23"/>
      <c r="L146" s="24"/>
      <c r="M146" s="25"/>
      <c r="N146" s="24"/>
      <c r="O146" s="26"/>
      <c r="P146" s="24"/>
      <c r="V146" s="23"/>
      <c r="W146" s="27"/>
      <c r="X146" s="27"/>
      <c r="Y146" s="28"/>
      <c r="Z146" s="27"/>
      <c r="AA146" s="27"/>
      <c r="AB146" s="27"/>
      <c r="AC146" s="28"/>
      <c r="AD146" s="29"/>
      <c r="AE146" s="29"/>
      <c r="AF146" s="29"/>
      <c r="AG146" s="28"/>
      <c r="AH146" s="29"/>
      <c r="AI146" s="29"/>
      <c r="AJ146" s="29"/>
    </row>
    <row r="147">
      <c r="C147" s="23"/>
      <c r="L147" s="24"/>
      <c r="M147" s="25"/>
      <c r="N147" s="24"/>
      <c r="O147" s="26"/>
      <c r="P147" s="24"/>
      <c r="V147" s="23"/>
      <c r="W147" s="27"/>
      <c r="X147" s="27"/>
      <c r="Y147" s="28"/>
      <c r="Z147" s="27"/>
      <c r="AA147" s="27"/>
      <c r="AB147" s="27"/>
      <c r="AC147" s="28"/>
      <c r="AD147" s="29"/>
      <c r="AE147" s="29"/>
      <c r="AF147" s="29"/>
      <c r="AG147" s="28"/>
      <c r="AH147" s="29"/>
      <c r="AI147" s="29"/>
      <c r="AJ147" s="29"/>
    </row>
    <row r="148">
      <c r="C148" s="23"/>
      <c r="L148" s="24"/>
      <c r="M148" s="25"/>
      <c r="N148" s="24"/>
      <c r="O148" s="26"/>
      <c r="P148" s="24"/>
      <c r="V148" s="23"/>
      <c r="W148" s="27"/>
      <c r="X148" s="27"/>
      <c r="Y148" s="28"/>
      <c r="Z148" s="27"/>
      <c r="AA148" s="27"/>
      <c r="AB148" s="27"/>
      <c r="AC148" s="28"/>
      <c r="AD148" s="29"/>
      <c r="AE148" s="29"/>
      <c r="AF148" s="29"/>
      <c r="AG148" s="28"/>
      <c r="AH148" s="29"/>
      <c r="AI148" s="29"/>
      <c r="AJ148" s="29"/>
    </row>
    <row r="149">
      <c r="C149" s="23"/>
      <c r="L149" s="24"/>
      <c r="M149" s="25"/>
      <c r="N149" s="24"/>
      <c r="O149" s="26"/>
      <c r="P149" s="24"/>
      <c r="V149" s="23"/>
      <c r="W149" s="27"/>
      <c r="X149" s="27"/>
      <c r="Y149" s="28"/>
      <c r="Z149" s="27"/>
      <c r="AA149" s="27"/>
      <c r="AB149" s="27"/>
      <c r="AC149" s="28"/>
      <c r="AD149" s="29"/>
      <c r="AE149" s="29"/>
      <c r="AF149" s="29"/>
      <c r="AG149" s="28"/>
      <c r="AH149" s="29"/>
      <c r="AI149" s="29"/>
      <c r="AJ149" s="29"/>
    </row>
    <row r="150">
      <c r="C150" s="23"/>
      <c r="L150" s="24"/>
      <c r="M150" s="25"/>
      <c r="N150" s="24"/>
      <c r="O150" s="26"/>
      <c r="P150" s="24"/>
      <c r="V150" s="23"/>
      <c r="W150" s="27"/>
      <c r="X150" s="27"/>
      <c r="Y150" s="28"/>
      <c r="Z150" s="27"/>
      <c r="AA150" s="27"/>
      <c r="AB150" s="27"/>
      <c r="AC150" s="28"/>
      <c r="AD150" s="29"/>
      <c r="AE150" s="29"/>
      <c r="AF150" s="29"/>
      <c r="AG150" s="28"/>
      <c r="AH150" s="29"/>
      <c r="AI150" s="29"/>
      <c r="AJ150" s="29"/>
    </row>
    <row r="151">
      <c r="C151" s="23"/>
      <c r="L151" s="24"/>
      <c r="M151" s="25"/>
      <c r="N151" s="24"/>
      <c r="O151" s="26"/>
      <c r="P151" s="24"/>
      <c r="V151" s="23"/>
      <c r="W151" s="27"/>
      <c r="X151" s="27"/>
      <c r="Y151" s="28"/>
      <c r="Z151" s="27"/>
      <c r="AA151" s="27"/>
      <c r="AB151" s="27"/>
      <c r="AC151" s="28"/>
      <c r="AD151" s="29"/>
      <c r="AE151" s="29"/>
      <c r="AF151" s="29"/>
      <c r="AG151" s="28"/>
      <c r="AH151" s="29"/>
      <c r="AI151" s="29"/>
      <c r="AJ151" s="29"/>
    </row>
    <row r="152">
      <c r="C152" s="23"/>
      <c r="L152" s="24"/>
      <c r="M152" s="25"/>
      <c r="N152" s="24"/>
      <c r="O152" s="26"/>
      <c r="P152" s="24"/>
      <c r="V152" s="23"/>
      <c r="W152" s="27"/>
      <c r="X152" s="27"/>
      <c r="Y152" s="28"/>
      <c r="Z152" s="27"/>
      <c r="AA152" s="27"/>
      <c r="AB152" s="27"/>
      <c r="AC152" s="28"/>
      <c r="AD152" s="29"/>
      <c r="AE152" s="29"/>
      <c r="AF152" s="29"/>
      <c r="AG152" s="28"/>
      <c r="AH152" s="29"/>
      <c r="AI152" s="29"/>
      <c r="AJ152" s="29"/>
    </row>
    <row r="153">
      <c r="C153" s="23"/>
      <c r="L153" s="24"/>
      <c r="M153" s="25"/>
      <c r="N153" s="24"/>
      <c r="O153" s="26"/>
      <c r="P153" s="24"/>
      <c r="V153" s="23"/>
      <c r="W153" s="27"/>
      <c r="X153" s="27"/>
      <c r="Y153" s="28"/>
      <c r="Z153" s="27"/>
      <c r="AA153" s="27"/>
      <c r="AB153" s="27"/>
      <c r="AC153" s="28"/>
      <c r="AD153" s="29"/>
      <c r="AE153" s="29"/>
      <c r="AF153" s="29"/>
      <c r="AG153" s="28"/>
      <c r="AH153" s="29"/>
      <c r="AI153" s="29"/>
      <c r="AJ153" s="29"/>
    </row>
    <row r="154">
      <c r="C154" s="23"/>
      <c r="L154" s="24"/>
      <c r="M154" s="25"/>
      <c r="N154" s="24"/>
      <c r="O154" s="26"/>
      <c r="P154" s="24"/>
      <c r="V154" s="23"/>
      <c r="W154" s="27"/>
      <c r="X154" s="27"/>
      <c r="Y154" s="28"/>
      <c r="Z154" s="27"/>
      <c r="AA154" s="27"/>
      <c r="AB154" s="27"/>
      <c r="AC154" s="28"/>
      <c r="AD154" s="29"/>
      <c r="AE154" s="29"/>
      <c r="AF154" s="29"/>
      <c r="AG154" s="28"/>
      <c r="AH154" s="29"/>
      <c r="AI154" s="29"/>
      <c r="AJ154" s="29"/>
    </row>
    <row r="155">
      <c r="C155" s="23"/>
      <c r="L155" s="24"/>
      <c r="M155" s="25"/>
      <c r="N155" s="24"/>
      <c r="O155" s="26"/>
      <c r="P155" s="24"/>
      <c r="V155" s="23"/>
      <c r="W155" s="27"/>
      <c r="X155" s="27"/>
      <c r="Y155" s="28"/>
      <c r="Z155" s="27"/>
      <c r="AA155" s="27"/>
      <c r="AB155" s="27"/>
      <c r="AC155" s="28"/>
      <c r="AD155" s="29"/>
      <c r="AE155" s="29"/>
      <c r="AF155" s="29"/>
      <c r="AG155" s="28"/>
      <c r="AH155" s="29"/>
      <c r="AI155" s="29"/>
      <c r="AJ155" s="29"/>
    </row>
    <row r="156">
      <c r="C156" s="23"/>
      <c r="L156" s="24"/>
      <c r="M156" s="25"/>
      <c r="N156" s="24"/>
      <c r="O156" s="26"/>
      <c r="P156" s="24"/>
      <c r="V156" s="23"/>
      <c r="W156" s="27"/>
      <c r="X156" s="27"/>
      <c r="Y156" s="28"/>
      <c r="Z156" s="27"/>
      <c r="AA156" s="27"/>
      <c r="AB156" s="27"/>
      <c r="AC156" s="28"/>
      <c r="AD156" s="29"/>
      <c r="AE156" s="29"/>
      <c r="AF156" s="29"/>
      <c r="AG156" s="28"/>
      <c r="AH156" s="29"/>
      <c r="AI156" s="29"/>
      <c r="AJ156" s="29"/>
    </row>
    <row r="157">
      <c r="C157" s="23"/>
      <c r="L157" s="24"/>
      <c r="M157" s="25"/>
      <c r="N157" s="24"/>
      <c r="O157" s="26"/>
      <c r="P157" s="24"/>
      <c r="V157" s="23"/>
      <c r="W157" s="27"/>
      <c r="X157" s="27"/>
      <c r="Y157" s="28"/>
      <c r="Z157" s="27"/>
      <c r="AA157" s="27"/>
      <c r="AB157" s="27"/>
      <c r="AC157" s="28"/>
      <c r="AD157" s="29"/>
      <c r="AE157" s="29"/>
      <c r="AF157" s="29"/>
      <c r="AG157" s="28"/>
      <c r="AH157" s="29"/>
      <c r="AI157" s="29"/>
      <c r="AJ157" s="29"/>
    </row>
    <row r="158">
      <c r="C158" s="23"/>
      <c r="L158" s="24"/>
      <c r="M158" s="25"/>
      <c r="N158" s="24"/>
      <c r="O158" s="26"/>
      <c r="P158" s="24"/>
      <c r="V158" s="23"/>
      <c r="W158" s="27"/>
      <c r="X158" s="27"/>
      <c r="Y158" s="28"/>
      <c r="Z158" s="27"/>
      <c r="AA158" s="27"/>
      <c r="AB158" s="27"/>
      <c r="AC158" s="28"/>
      <c r="AD158" s="29"/>
      <c r="AE158" s="29"/>
      <c r="AF158" s="29"/>
      <c r="AG158" s="28"/>
      <c r="AH158" s="29"/>
      <c r="AI158" s="29"/>
      <c r="AJ158" s="29"/>
    </row>
    <row r="159">
      <c r="C159" s="23"/>
      <c r="L159" s="24"/>
      <c r="M159" s="25"/>
      <c r="N159" s="24"/>
      <c r="O159" s="26"/>
      <c r="P159" s="24"/>
      <c r="V159" s="23"/>
      <c r="W159" s="27"/>
      <c r="X159" s="27"/>
      <c r="Y159" s="28"/>
      <c r="Z159" s="27"/>
      <c r="AA159" s="27"/>
      <c r="AB159" s="27"/>
      <c r="AC159" s="28"/>
      <c r="AD159" s="29"/>
      <c r="AE159" s="29"/>
      <c r="AF159" s="29"/>
      <c r="AG159" s="28"/>
      <c r="AH159" s="29"/>
      <c r="AI159" s="29"/>
      <c r="AJ159" s="29"/>
    </row>
    <row r="160">
      <c r="C160" s="23"/>
      <c r="L160" s="24"/>
      <c r="M160" s="25"/>
      <c r="N160" s="24"/>
      <c r="O160" s="26"/>
      <c r="P160" s="24"/>
      <c r="V160" s="23"/>
      <c r="W160" s="27"/>
      <c r="X160" s="27"/>
      <c r="Y160" s="28"/>
      <c r="Z160" s="27"/>
      <c r="AA160" s="27"/>
      <c r="AB160" s="27"/>
      <c r="AC160" s="28"/>
      <c r="AD160" s="29"/>
      <c r="AE160" s="29"/>
      <c r="AF160" s="29"/>
      <c r="AG160" s="28"/>
      <c r="AH160" s="29"/>
      <c r="AI160" s="29"/>
      <c r="AJ160" s="29"/>
    </row>
    <row r="161">
      <c r="C161" s="23"/>
      <c r="L161" s="24"/>
      <c r="M161" s="25"/>
      <c r="N161" s="24"/>
      <c r="O161" s="26"/>
      <c r="P161" s="24"/>
      <c r="V161" s="23"/>
      <c r="W161" s="27"/>
      <c r="X161" s="27"/>
      <c r="Y161" s="28"/>
      <c r="Z161" s="27"/>
      <c r="AA161" s="27"/>
      <c r="AB161" s="27"/>
      <c r="AC161" s="28"/>
      <c r="AD161" s="29"/>
      <c r="AE161" s="29"/>
      <c r="AF161" s="29"/>
      <c r="AG161" s="28"/>
      <c r="AH161" s="29"/>
      <c r="AI161" s="29"/>
      <c r="AJ161" s="29"/>
    </row>
    <row r="162">
      <c r="C162" s="23"/>
      <c r="L162" s="24"/>
      <c r="M162" s="25"/>
      <c r="N162" s="24"/>
      <c r="O162" s="26"/>
      <c r="P162" s="24"/>
      <c r="V162" s="23"/>
      <c r="W162" s="27"/>
      <c r="X162" s="27"/>
      <c r="Y162" s="28"/>
      <c r="Z162" s="27"/>
      <c r="AA162" s="27"/>
      <c r="AB162" s="27"/>
      <c r="AC162" s="28"/>
      <c r="AD162" s="29"/>
      <c r="AE162" s="29"/>
      <c r="AF162" s="29"/>
      <c r="AG162" s="28"/>
      <c r="AH162" s="29"/>
      <c r="AI162" s="29"/>
      <c r="AJ162" s="29"/>
    </row>
    <row r="163">
      <c r="C163" s="23"/>
      <c r="L163" s="24"/>
      <c r="M163" s="25"/>
      <c r="N163" s="24"/>
      <c r="O163" s="26"/>
      <c r="P163" s="24"/>
      <c r="V163" s="23"/>
      <c r="W163" s="27"/>
      <c r="X163" s="27"/>
      <c r="Y163" s="28"/>
      <c r="Z163" s="27"/>
      <c r="AA163" s="27"/>
      <c r="AB163" s="27"/>
      <c r="AC163" s="28"/>
      <c r="AD163" s="29"/>
      <c r="AE163" s="29"/>
      <c r="AF163" s="29"/>
      <c r="AG163" s="28"/>
      <c r="AH163" s="29"/>
      <c r="AI163" s="29"/>
      <c r="AJ163" s="29"/>
    </row>
    <row r="164">
      <c r="C164" s="23"/>
      <c r="L164" s="24"/>
      <c r="M164" s="25"/>
      <c r="N164" s="24"/>
      <c r="O164" s="26"/>
      <c r="P164" s="24"/>
      <c r="V164" s="23"/>
      <c r="W164" s="27"/>
      <c r="X164" s="27"/>
      <c r="Y164" s="28"/>
      <c r="Z164" s="27"/>
      <c r="AA164" s="27"/>
      <c r="AB164" s="27"/>
      <c r="AC164" s="28"/>
      <c r="AD164" s="29"/>
      <c r="AE164" s="29"/>
      <c r="AF164" s="29"/>
      <c r="AG164" s="28"/>
      <c r="AH164" s="29"/>
      <c r="AI164" s="29"/>
      <c r="AJ164" s="29"/>
    </row>
    <row r="165">
      <c r="C165" s="23"/>
      <c r="L165" s="24"/>
      <c r="M165" s="25"/>
      <c r="N165" s="24"/>
      <c r="O165" s="26"/>
      <c r="P165" s="24"/>
      <c r="V165" s="23"/>
      <c r="W165" s="27"/>
      <c r="X165" s="27"/>
      <c r="Y165" s="28"/>
      <c r="Z165" s="27"/>
      <c r="AA165" s="27"/>
      <c r="AB165" s="27"/>
      <c r="AC165" s="28"/>
      <c r="AD165" s="29"/>
      <c r="AE165" s="29"/>
      <c r="AF165" s="29"/>
      <c r="AG165" s="28"/>
      <c r="AH165" s="29"/>
      <c r="AI165" s="29"/>
      <c r="AJ165" s="29"/>
    </row>
    <row r="166">
      <c r="C166" s="23"/>
      <c r="L166" s="24"/>
      <c r="M166" s="25"/>
      <c r="N166" s="24"/>
      <c r="O166" s="26"/>
      <c r="P166" s="24"/>
      <c r="V166" s="23"/>
      <c r="W166" s="27"/>
      <c r="X166" s="27"/>
      <c r="Y166" s="28"/>
      <c r="Z166" s="27"/>
      <c r="AA166" s="27"/>
      <c r="AB166" s="27"/>
      <c r="AC166" s="28"/>
      <c r="AD166" s="29"/>
      <c r="AE166" s="29"/>
      <c r="AF166" s="29"/>
      <c r="AG166" s="28"/>
      <c r="AH166" s="29"/>
      <c r="AI166" s="29"/>
      <c r="AJ166" s="29"/>
    </row>
    <row r="167">
      <c r="C167" s="23"/>
      <c r="L167" s="24"/>
      <c r="M167" s="25"/>
      <c r="N167" s="24"/>
      <c r="O167" s="26"/>
      <c r="P167" s="24"/>
      <c r="V167" s="23"/>
      <c r="W167" s="27"/>
      <c r="X167" s="27"/>
      <c r="Y167" s="28"/>
      <c r="Z167" s="27"/>
      <c r="AA167" s="27"/>
      <c r="AB167" s="27"/>
      <c r="AC167" s="28"/>
      <c r="AD167" s="29"/>
      <c r="AE167" s="29"/>
      <c r="AF167" s="29"/>
      <c r="AG167" s="28"/>
      <c r="AH167" s="29"/>
      <c r="AI167" s="29"/>
      <c r="AJ167" s="29"/>
    </row>
    <row r="168">
      <c r="C168" s="23"/>
      <c r="L168" s="24"/>
      <c r="M168" s="25"/>
      <c r="N168" s="24"/>
      <c r="O168" s="26"/>
      <c r="P168" s="24"/>
      <c r="V168" s="23"/>
      <c r="W168" s="27"/>
      <c r="X168" s="27"/>
      <c r="Y168" s="28"/>
      <c r="Z168" s="27"/>
      <c r="AA168" s="27"/>
      <c r="AB168" s="27"/>
      <c r="AC168" s="28"/>
      <c r="AD168" s="29"/>
      <c r="AE168" s="29"/>
      <c r="AF168" s="29"/>
      <c r="AG168" s="28"/>
      <c r="AH168" s="29"/>
      <c r="AI168" s="29"/>
      <c r="AJ168" s="29"/>
    </row>
    <row r="169">
      <c r="C169" s="23"/>
      <c r="L169" s="24"/>
      <c r="M169" s="25"/>
      <c r="N169" s="24"/>
      <c r="O169" s="26"/>
      <c r="P169" s="24"/>
      <c r="V169" s="23"/>
      <c r="W169" s="27"/>
      <c r="X169" s="27"/>
      <c r="Y169" s="28"/>
      <c r="Z169" s="27"/>
      <c r="AA169" s="27"/>
      <c r="AB169" s="27"/>
      <c r="AC169" s="28"/>
      <c r="AD169" s="29"/>
      <c r="AE169" s="29"/>
      <c r="AF169" s="29"/>
      <c r="AG169" s="28"/>
      <c r="AH169" s="29"/>
      <c r="AI169" s="29"/>
      <c r="AJ169" s="29"/>
    </row>
    <row r="170">
      <c r="C170" s="23"/>
      <c r="L170" s="24"/>
      <c r="M170" s="25"/>
      <c r="N170" s="24"/>
      <c r="O170" s="26"/>
      <c r="P170" s="24"/>
      <c r="V170" s="23"/>
      <c r="W170" s="27"/>
      <c r="X170" s="27"/>
      <c r="Y170" s="28"/>
      <c r="Z170" s="27"/>
      <c r="AA170" s="27"/>
      <c r="AB170" s="27"/>
      <c r="AC170" s="28"/>
      <c r="AD170" s="29"/>
      <c r="AE170" s="29"/>
      <c r="AF170" s="29"/>
      <c r="AG170" s="28"/>
      <c r="AH170" s="29"/>
      <c r="AI170" s="29"/>
      <c r="AJ170" s="29"/>
    </row>
    <row r="171">
      <c r="C171" s="23"/>
      <c r="L171" s="24"/>
      <c r="M171" s="25"/>
      <c r="N171" s="24"/>
      <c r="O171" s="26"/>
      <c r="P171" s="24"/>
      <c r="V171" s="23"/>
      <c r="W171" s="27"/>
      <c r="X171" s="27"/>
      <c r="Y171" s="28"/>
      <c r="Z171" s="27"/>
      <c r="AA171" s="27"/>
      <c r="AB171" s="27"/>
      <c r="AC171" s="28"/>
      <c r="AD171" s="29"/>
      <c r="AE171" s="29"/>
      <c r="AF171" s="29"/>
      <c r="AG171" s="28"/>
      <c r="AH171" s="29"/>
      <c r="AI171" s="29"/>
      <c r="AJ171" s="29"/>
    </row>
    <row r="172">
      <c r="C172" s="23"/>
      <c r="L172" s="24"/>
      <c r="M172" s="25"/>
      <c r="N172" s="24"/>
      <c r="O172" s="26"/>
      <c r="P172" s="24"/>
      <c r="V172" s="23"/>
      <c r="W172" s="27"/>
      <c r="X172" s="27"/>
      <c r="Y172" s="28"/>
      <c r="Z172" s="27"/>
      <c r="AA172" s="27"/>
      <c r="AB172" s="27"/>
      <c r="AC172" s="28"/>
      <c r="AD172" s="29"/>
      <c r="AE172" s="29"/>
      <c r="AF172" s="29"/>
      <c r="AG172" s="28"/>
      <c r="AH172" s="29"/>
      <c r="AI172" s="29"/>
      <c r="AJ172" s="29"/>
    </row>
    <row r="173">
      <c r="C173" s="23"/>
      <c r="L173" s="24"/>
      <c r="M173" s="25"/>
      <c r="N173" s="24"/>
      <c r="O173" s="26"/>
      <c r="P173" s="24"/>
      <c r="V173" s="23"/>
      <c r="W173" s="27"/>
      <c r="X173" s="27"/>
      <c r="Y173" s="28"/>
      <c r="Z173" s="27"/>
      <c r="AA173" s="27"/>
      <c r="AB173" s="27"/>
      <c r="AC173" s="28"/>
      <c r="AD173" s="29"/>
      <c r="AE173" s="29"/>
      <c r="AF173" s="29"/>
      <c r="AG173" s="28"/>
      <c r="AH173" s="29"/>
      <c r="AI173" s="29"/>
      <c r="AJ173" s="29"/>
    </row>
    <row r="174">
      <c r="C174" s="23"/>
      <c r="L174" s="24"/>
      <c r="M174" s="25"/>
      <c r="N174" s="24"/>
      <c r="O174" s="26"/>
      <c r="P174" s="24"/>
      <c r="V174" s="23"/>
      <c r="W174" s="27"/>
      <c r="X174" s="27"/>
      <c r="Y174" s="28"/>
      <c r="Z174" s="27"/>
      <c r="AA174" s="27"/>
      <c r="AB174" s="27"/>
      <c r="AC174" s="28"/>
      <c r="AD174" s="29"/>
      <c r="AE174" s="29"/>
      <c r="AF174" s="29"/>
      <c r="AG174" s="28"/>
      <c r="AH174" s="29"/>
      <c r="AI174" s="29"/>
      <c r="AJ174" s="29"/>
    </row>
    <row r="175">
      <c r="C175" s="23"/>
      <c r="L175" s="24"/>
      <c r="M175" s="25"/>
      <c r="N175" s="24"/>
      <c r="O175" s="26"/>
      <c r="P175" s="24"/>
      <c r="V175" s="23"/>
      <c r="W175" s="27"/>
      <c r="X175" s="27"/>
      <c r="Y175" s="28"/>
      <c r="Z175" s="27"/>
      <c r="AA175" s="27"/>
      <c r="AB175" s="27"/>
      <c r="AC175" s="28"/>
      <c r="AD175" s="29"/>
      <c r="AE175" s="29"/>
      <c r="AF175" s="29"/>
      <c r="AG175" s="28"/>
      <c r="AH175" s="29"/>
      <c r="AI175" s="29"/>
      <c r="AJ175" s="29"/>
    </row>
    <row r="176">
      <c r="C176" s="23"/>
      <c r="L176" s="24"/>
      <c r="M176" s="25"/>
      <c r="N176" s="24"/>
      <c r="O176" s="26"/>
      <c r="P176" s="24"/>
      <c r="V176" s="23"/>
      <c r="W176" s="27"/>
      <c r="X176" s="27"/>
      <c r="Y176" s="28"/>
      <c r="Z176" s="27"/>
      <c r="AA176" s="27"/>
      <c r="AB176" s="27"/>
      <c r="AC176" s="28"/>
      <c r="AD176" s="29"/>
      <c r="AE176" s="29"/>
      <c r="AF176" s="29"/>
      <c r="AG176" s="28"/>
      <c r="AH176" s="29"/>
      <c r="AI176" s="29"/>
      <c r="AJ176" s="29"/>
    </row>
    <row r="177">
      <c r="C177" s="23"/>
      <c r="L177" s="24"/>
      <c r="M177" s="25"/>
      <c r="N177" s="24"/>
      <c r="O177" s="26"/>
      <c r="P177" s="24"/>
      <c r="V177" s="23"/>
      <c r="W177" s="27"/>
      <c r="X177" s="27"/>
      <c r="Y177" s="28"/>
      <c r="Z177" s="27"/>
      <c r="AA177" s="27"/>
      <c r="AB177" s="27"/>
      <c r="AC177" s="28"/>
      <c r="AD177" s="29"/>
      <c r="AE177" s="29"/>
      <c r="AF177" s="29"/>
      <c r="AG177" s="28"/>
      <c r="AH177" s="29"/>
      <c r="AI177" s="29"/>
      <c r="AJ177" s="29"/>
    </row>
    <row r="178">
      <c r="C178" s="23"/>
      <c r="L178" s="24"/>
      <c r="M178" s="25"/>
      <c r="N178" s="24"/>
      <c r="O178" s="26"/>
      <c r="P178" s="24"/>
      <c r="V178" s="23"/>
      <c r="W178" s="27"/>
      <c r="X178" s="27"/>
      <c r="Y178" s="28"/>
      <c r="Z178" s="27"/>
      <c r="AA178" s="27"/>
      <c r="AB178" s="27"/>
      <c r="AC178" s="28"/>
      <c r="AD178" s="29"/>
      <c r="AE178" s="29"/>
      <c r="AF178" s="29"/>
      <c r="AG178" s="28"/>
      <c r="AH178" s="29"/>
      <c r="AI178" s="29"/>
      <c r="AJ178" s="29"/>
    </row>
    <row r="179">
      <c r="C179" s="23"/>
      <c r="L179" s="24"/>
      <c r="M179" s="25"/>
      <c r="N179" s="24"/>
      <c r="O179" s="26"/>
      <c r="P179" s="24"/>
      <c r="V179" s="23"/>
      <c r="W179" s="27"/>
      <c r="X179" s="27"/>
      <c r="Y179" s="28"/>
      <c r="Z179" s="27"/>
      <c r="AA179" s="27"/>
      <c r="AB179" s="27"/>
      <c r="AC179" s="28"/>
      <c r="AD179" s="29"/>
      <c r="AE179" s="29"/>
      <c r="AF179" s="29"/>
      <c r="AG179" s="28"/>
      <c r="AH179" s="29"/>
      <c r="AI179" s="29"/>
      <c r="AJ179" s="29"/>
    </row>
    <row r="180">
      <c r="C180" s="23"/>
      <c r="L180" s="24"/>
      <c r="M180" s="25"/>
      <c r="N180" s="24"/>
      <c r="O180" s="26"/>
      <c r="P180" s="24"/>
      <c r="V180" s="23"/>
      <c r="W180" s="27"/>
      <c r="X180" s="27"/>
      <c r="Y180" s="28"/>
      <c r="Z180" s="27"/>
      <c r="AA180" s="27"/>
      <c r="AB180" s="27"/>
      <c r="AC180" s="28"/>
      <c r="AD180" s="29"/>
      <c r="AE180" s="29"/>
      <c r="AF180" s="29"/>
      <c r="AG180" s="28"/>
      <c r="AH180" s="29"/>
      <c r="AI180" s="29"/>
      <c r="AJ180" s="29"/>
    </row>
    <row r="181">
      <c r="C181" s="23"/>
      <c r="L181" s="24"/>
      <c r="M181" s="25"/>
      <c r="N181" s="24"/>
      <c r="O181" s="26"/>
      <c r="P181" s="24"/>
      <c r="V181" s="23"/>
      <c r="W181" s="27"/>
      <c r="X181" s="27"/>
      <c r="Y181" s="28"/>
      <c r="Z181" s="27"/>
      <c r="AA181" s="27"/>
      <c r="AB181" s="27"/>
      <c r="AC181" s="28"/>
      <c r="AD181" s="29"/>
      <c r="AE181" s="29"/>
      <c r="AF181" s="29"/>
      <c r="AG181" s="28"/>
      <c r="AH181" s="29"/>
      <c r="AI181" s="29"/>
      <c r="AJ181" s="29"/>
    </row>
    <row r="182">
      <c r="C182" s="23"/>
      <c r="L182" s="24"/>
      <c r="M182" s="25"/>
      <c r="N182" s="24"/>
      <c r="O182" s="26"/>
      <c r="P182" s="24"/>
      <c r="V182" s="23"/>
      <c r="W182" s="27"/>
      <c r="X182" s="27"/>
      <c r="Y182" s="28"/>
      <c r="Z182" s="27"/>
      <c r="AA182" s="27"/>
      <c r="AB182" s="27"/>
      <c r="AC182" s="28"/>
      <c r="AD182" s="29"/>
      <c r="AE182" s="29"/>
      <c r="AF182" s="29"/>
      <c r="AG182" s="28"/>
      <c r="AH182" s="29"/>
      <c r="AI182" s="29"/>
      <c r="AJ182" s="29"/>
    </row>
    <row r="183">
      <c r="C183" s="23"/>
      <c r="L183" s="24"/>
      <c r="M183" s="25"/>
      <c r="N183" s="24"/>
      <c r="O183" s="26"/>
      <c r="P183" s="24"/>
      <c r="V183" s="23"/>
      <c r="W183" s="27"/>
      <c r="X183" s="27"/>
      <c r="Y183" s="28"/>
      <c r="Z183" s="27"/>
      <c r="AA183" s="27"/>
      <c r="AB183" s="27"/>
      <c r="AC183" s="28"/>
      <c r="AD183" s="29"/>
      <c r="AE183" s="29"/>
      <c r="AF183" s="29"/>
      <c r="AG183" s="28"/>
      <c r="AH183" s="29"/>
      <c r="AI183" s="29"/>
      <c r="AJ183" s="29"/>
    </row>
    <row r="184">
      <c r="C184" s="23"/>
      <c r="L184" s="24"/>
      <c r="M184" s="25"/>
      <c r="N184" s="24"/>
      <c r="O184" s="26"/>
      <c r="P184" s="24"/>
      <c r="V184" s="23"/>
      <c r="W184" s="27"/>
      <c r="X184" s="27"/>
      <c r="Y184" s="28"/>
      <c r="Z184" s="27"/>
      <c r="AA184" s="27"/>
      <c r="AB184" s="27"/>
      <c r="AC184" s="28"/>
      <c r="AD184" s="29"/>
      <c r="AE184" s="29"/>
      <c r="AF184" s="29"/>
      <c r="AG184" s="28"/>
      <c r="AH184" s="29"/>
      <c r="AI184" s="29"/>
      <c r="AJ184" s="29"/>
    </row>
    <row r="185">
      <c r="C185" s="23"/>
      <c r="L185" s="24"/>
      <c r="M185" s="25"/>
      <c r="N185" s="24"/>
      <c r="O185" s="26"/>
      <c r="P185" s="24"/>
      <c r="V185" s="23"/>
      <c r="W185" s="27"/>
      <c r="X185" s="27"/>
      <c r="Y185" s="28"/>
      <c r="Z185" s="27"/>
      <c r="AA185" s="27"/>
      <c r="AB185" s="27"/>
      <c r="AC185" s="28"/>
      <c r="AD185" s="29"/>
      <c r="AE185" s="29"/>
      <c r="AF185" s="29"/>
      <c r="AG185" s="28"/>
      <c r="AH185" s="29"/>
      <c r="AI185" s="29"/>
      <c r="AJ185" s="29"/>
    </row>
    <row r="186">
      <c r="C186" s="23"/>
      <c r="L186" s="24"/>
      <c r="M186" s="25"/>
      <c r="N186" s="24"/>
      <c r="O186" s="26"/>
      <c r="P186" s="24"/>
      <c r="V186" s="23"/>
      <c r="W186" s="27"/>
      <c r="X186" s="27"/>
      <c r="Y186" s="28"/>
      <c r="Z186" s="27"/>
      <c r="AA186" s="27"/>
      <c r="AB186" s="27"/>
      <c r="AC186" s="28"/>
      <c r="AD186" s="29"/>
      <c r="AE186" s="29"/>
      <c r="AF186" s="29"/>
      <c r="AG186" s="28"/>
      <c r="AH186" s="29"/>
      <c r="AI186" s="29"/>
      <c r="AJ186" s="29"/>
    </row>
    <row r="187">
      <c r="C187" s="23"/>
      <c r="L187" s="24"/>
      <c r="M187" s="25"/>
      <c r="N187" s="24"/>
      <c r="O187" s="26"/>
      <c r="P187" s="24"/>
      <c r="V187" s="23"/>
      <c r="W187" s="27"/>
      <c r="X187" s="27"/>
      <c r="Y187" s="28"/>
      <c r="Z187" s="27"/>
      <c r="AA187" s="27"/>
      <c r="AB187" s="27"/>
      <c r="AC187" s="28"/>
      <c r="AD187" s="29"/>
      <c r="AE187" s="29"/>
      <c r="AF187" s="29"/>
      <c r="AG187" s="28"/>
      <c r="AH187" s="29"/>
      <c r="AI187" s="29"/>
      <c r="AJ187" s="29"/>
    </row>
    <row r="188">
      <c r="C188" s="23"/>
      <c r="L188" s="24"/>
      <c r="M188" s="25"/>
      <c r="N188" s="24"/>
      <c r="O188" s="26"/>
      <c r="P188" s="24"/>
      <c r="V188" s="23"/>
      <c r="W188" s="27"/>
      <c r="X188" s="27"/>
      <c r="Y188" s="28"/>
      <c r="Z188" s="27"/>
      <c r="AA188" s="27"/>
      <c r="AB188" s="27"/>
      <c r="AC188" s="28"/>
      <c r="AD188" s="29"/>
      <c r="AE188" s="29"/>
      <c r="AF188" s="29"/>
      <c r="AG188" s="28"/>
      <c r="AH188" s="29"/>
      <c r="AI188" s="29"/>
      <c r="AJ188" s="29"/>
    </row>
    <row r="189">
      <c r="C189" s="23"/>
      <c r="L189" s="24"/>
      <c r="M189" s="25"/>
      <c r="N189" s="24"/>
      <c r="O189" s="26"/>
      <c r="P189" s="24"/>
      <c r="V189" s="23"/>
      <c r="W189" s="27"/>
      <c r="X189" s="27"/>
      <c r="Y189" s="28"/>
      <c r="Z189" s="27"/>
      <c r="AA189" s="27"/>
      <c r="AB189" s="27"/>
      <c r="AC189" s="28"/>
      <c r="AD189" s="29"/>
      <c r="AE189" s="29"/>
      <c r="AF189" s="29"/>
      <c r="AG189" s="28"/>
      <c r="AH189" s="29"/>
      <c r="AI189" s="29"/>
      <c r="AJ189" s="29"/>
    </row>
    <row r="190">
      <c r="C190" s="23"/>
      <c r="L190" s="24"/>
      <c r="M190" s="25"/>
      <c r="N190" s="24"/>
      <c r="O190" s="26"/>
      <c r="P190" s="24"/>
      <c r="V190" s="23"/>
      <c r="W190" s="27"/>
      <c r="X190" s="27"/>
      <c r="Y190" s="28"/>
      <c r="Z190" s="27"/>
      <c r="AA190" s="27"/>
      <c r="AB190" s="27"/>
      <c r="AC190" s="28"/>
      <c r="AD190" s="29"/>
      <c r="AE190" s="29"/>
      <c r="AF190" s="29"/>
      <c r="AG190" s="28"/>
      <c r="AH190" s="29"/>
      <c r="AI190" s="29"/>
      <c r="AJ190" s="29"/>
    </row>
    <row r="191">
      <c r="C191" s="23"/>
      <c r="L191" s="24"/>
      <c r="M191" s="25"/>
      <c r="N191" s="24"/>
      <c r="O191" s="26"/>
      <c r="P191" s="24"/>
      <c r="V191" s="23"/>
      <c r="W191" s="27"/>
      <c r="X191" s="27"/>
      <c r="Y191" s="28"/>
      <c r="Z191" s="27"/>
      <c r="AA191" s="27"/>
      <c r="AB191" s="27"/>
      <c r="AC191" s="28"/>
      <c r="AD191" s="29"/>
      <c r="AE191" s="29"/>
      <c r="AF191" s="29"/>
      <c r="AG191" s="28"/>
      <c r="AH191" s="29"/>
      <c r="AI191" s="29"/>
      <c r="AJ191" s="29"/>
    </row>
    <row r="192">
      <c r="C192" s="23"/>
      <c r="L192" s="24"/>
      <c r="M192" s="25"/>
      <c r="N192" s="24"/>
      <c r="O192" s="26"/>
      <c r="P192" s="24"/>
      <c r="V192" s="23"/>
      <c r="W192" s="27"/>
      <c r="X192" s="27"/>
      <c r="Y192" s="28"/>
      <c r="Z192" s="27"/>
      <c r="AA192" s="27"/>
      <c r="AB192" s="27"/>
      <c r="AC192" s="28"/>
      <c r="AD192" s="29"/>
      <c r="AE192" s="29"/>
      <c r="AF192" s="29"/>
      <c r="AG192" s="28"/>
      <c r="AH192" s="29"/>
      <c r="AI192" s="29"/>
      <c r="AJ192" s="29"/>
    </row>
    <row r="193">
      <c r="C193" s="23"/>
      <c r="L193" s="24"/>
      <c r="M193" s="25"/>
      <c r="N193" s="24"/>
      <c r="O193" s="26"/>
      <c r="P193" s="24"/>
      <c r="V193" s="23"/>
      <c r="W193" s="27"/>
      <c r="X193" s="27"/>
      <c r="Y193" s="28"/>
      <c r="Z193" s="27"/>
      <c r="AA193" s="27"/>
      <c r="AB193" s="27"/>
      <c r="AC193" s="28"/>
      <c r="AD193" s="29"/>
      <c r="AE193" s="29"/>
      <c r="AF193" s="29"/>
      <c r="AG193" s="28"/>
      <c r="AH193" s="29"/>
      <c r="AI193" s="29"/>
      <c r="AJ193" s="29"/>
    </row>
    <row r="194">
      <c r="C194" s="23"/>
      <c r="L194" s="24"/>
      <c r="M194" s="25"/>
      <c r="N194" s="24"/>
      <c r="O194" s="26"/>
      <c r="P194" s="24"/>
      <c r="V194" s="23"/>
      <c r="W194" s="27"/>
      <c r="X194" s="27"/>
      <c r="Y194" s="28"/>
      <c r="Z194" s="27"/>
      <c r="AA194" s="27"/>
      <c r="AB194" s="27"/>
      <c r="AC194" s="28"/>
      <c r="AD194" s="29"/>
      <c r="AE194" s="29"/>
      <c r="AF194" s="29"/>
      <c r="AG194" s="28"/>
      <c r="AH194" s="29"/>
      <c r="AI194" s="29"/>
      <c r="AJ194" s="29"/>
    </row>
    <row r="195">
      <c r="C195" s="23"/>
      <c r="L195" s="24"/>
      <c r="M195" s="25"/>
      <c r="N195" s="24"/>
      <c r="O195" s="26"/>
      <c r="P195" s="24"/>
      <c r="V195" s="23"/>
      <c r="W195" s="27"/>
      <c r="X195" s="27"/>
      <c r="Y195" s="28"/>
      <c r="Z195" s="27"/>
      <c r="AA195" s="27"/>
      <c r="AB195" s="27"/>
      <c r="AC195" s="28"/>
      <c r="AD195" s="29"/>
      <c r="AE195" s="29"/>
      <c r="AF195" s="29"/>
      <c r="AG195" s="28"/>
      <c r="AH195" s="29"/>
      <c r="AI195" s="29"/>
      <c r="AJ195" s="29"/>
    </row>
    <row r="196">
      <c r="C196" s="23"/>
      <c r="L196" s="24"/>
      <c r="M196" s="25"/>
      <c r="N196" s="24"/>
      <c r="O196" s="26"/>
      <c r="P196" s="24"/>
      <c r="V196" s="23"/>
      <c r="W196" s="27"/>
      <c r="X196" s="27"/>
      <c r="Y196" s="28"/>
      <c r="Z196" s="27"/>
      <c r="AA196" s="27"/>
      <c r="AB196" s="27"/>
      <c r="AC196" s="28"/>
      <c r="AD196" s="29"/>
      <c r="AE196" s="29"/>
      <c r="AF196" s="29"/>
      <c r="AG196" s="28"/>
      <c r="AH196" s="29"/>
      <c r="AI196" s="29"/>
      <c r="AJ196" s="29"/>
    </row>
    <row r="197">
      <c r="C197" s="23"/>
      <c r="L197" s="24"/>
      <c r="M197" s="25"/>
      <c r="N197" s="24"/>
      <c r="O197" s="26"/>
      <c r="P197" s="24"/>
      <c r="V197" s="23"/>
      <c r="W197" s="27"/>
      <c r="X197" s="27"/>
      <c r="Y197" s="28"/>
      <c r="Z197" s="27"/>
      <c r="AA197" s="27"/>
      <c r="AB197" s="27"/>
      <c r="AC197" s="28"/>
      <c r="AD197" s="29"/>
      <c r="AE197" s="29"/>
      <c r="AF197" s="29"/>
      <c r="AG197" s="28"/>
      <c r="AH197" s="29"/>
      <c r="AI197" s="29"/>
      <c r="AJ197" s="29"/>
    </row>
    <row r="198">
      <c r="C198" s="23"/>
      <c r="L198" s="24"/>
      <c r="M198" s="25"/>
      <c r="N198" s="24"/>
      <c r="O198" s="26"/>
      <c r="P198" s="24"/>
      <c r="V198" s="23"/>
      <c r="W198" s="27"/>
      <c r="X198" s="27"/>
      <c r="Y198" s="28"/>
      <c r="Z198" s="27"/>
      <c r="AA198" s="27"/>
      <c r="AB198" s="27"/>
      <c r="AC198" s="28"/>
      <c r="AD198" s="29"/>
      <c r="AE198" s="29"/>
      <c r="AF198" s="29"/>
      <c r="AG198" s="28"/>
      <c r="AH198" s="29"/>
      <c r="AI198" s="29"/>
      <c r="AJ198" s="29"/>
    </row>
    <row r="199">
      <c r="C199" s="23"/>
      <c r="L199" s="24"/>
      <c r="M199" s="25"/>
      <c r="N199" s="24"/>
      <c r="O199" s="26"/>
      <c r="P199" s="24"/>
      <c r="V199" s="23"/>
      <c r="W199" s="27"/>
      <c r="X199" s="27"/>
      <c r="Y199" s="28"/>
      <c r="Z199" s="27"/>
      <c r="AA199" s="27"/>
      <c r="AB199" s="27"/>
      <c r="AC199" s="28"/>
      <c r="AD199" s="29"/>
      <c r="AE199" s="29"/>
      <c r="AF199" s="29"/>
      <c r="AG199" s="28"/>
      <c r="AH199" s="29"/>
      <c r="AI199" s="29"/>
      <c r="AJ199" s="29"/>
    </row>
    <row r="200">
      <c r="C200" s="23"/>
      <c r="L200" s="24"/>
      <c r="M200" s="25"/>
      <c r="N200" s="24"/>
      <c r="O200" s="26"/>
      <c r="P200" s="24"/>
      <c r="V200" s="23"/>
      <c r="W200" s="27"/>
      <c r="X200" s="27"/>
      <c r="Y200" s="28"/>
      <c r="Z200" s="27"/>
      <c r="AA200" s="27"/>
      <c r="AB200" s="27"/>
      <c r="AC200" s="28"/>
      <c r="AD200" s="29"/>
      <c r="AE200" s="29"/>
      <c r="AF200" s="29"/>
      <c r="AG200" s="28"/>
      <c r="AH200" s="29"/>
      <c r="AI200" s="29"/>
      <c r="AJ200" s="29"/>
    </row>
    <row r="201">
      <c r="C201" s="23"/>
      <c r="L201" s="24"/>
      <c r="M201" s="25"/>
      <c r="N201" s="24"/>
      <c r="O201" s="26"/>
      <c r="P201" s="24"/>
      <c r="V201" s="23"/>
      <c r="W201" s="27"/>
      <c r="X201" s="27"/>
      <c r="Y201" s="28"/>
      <c r="Z201" s="27"/>
      <c r="AA201" s="27"/>
      <c r="AB201" s="27"/>
      <c r="AC201" s="28"/>
      <c r="AD201" s="29"/>
      <c r="AE201" s="29"/>
      <c r="AF201" s="29"/>
      <c r="AG201" s="28"/>
      <c r="AH201" s="29"/>
      <c r="AI201" s="29"/>
      <c r="AJ201" s="29"/>
    </row>
    <row r="202">
      <c r="C202" s="23"/>
      <c r="L202" s="24"/>
      <c r="M202" s="25"/>
      <c r="N202" s="24"/>
      <c r="O202" s="26"/>
      <c r="P202" s="24"/>
      <c r="V202" s="23"/>
      <c r="W202" s="27"/>
      <c r="X202" s="27"/>
      <c r="Y202" s="28"/>
      <c r="Z202" s="27"/>
      <c r="AA202" s="27"/>
      <c r="AB202" s="27"/>
      <c r="AC202" s="28"/>
      <c r="AD202" s="29"/>
      <c r="AE202" s="29"/>
      <c r="AF202" s="29"/>
      <c r="AG202" s="28"/>
      <c r="AH202" s="29"/>
      <c r="AI202" s="29"/>
      <c r="AJ202" s="29"/>
    </row>
    <row r="203">
      <c r="C203" s="23"/>
      <c r="L203" s="24"/>
      <c r="M203" s="25"/>
      <c r="N203" s="24"/>
      <c r="O203" s="26"/>
      <c r="P203" s="24"/>
      <c r="V203" s="23"/>
      <c r="W203" s="27"/>
      <c r="X203" s="27"/>
      <c r="Y203" s="28"/>
      <c r="Z203" s="27"/>
      <c r="AA203" s="27"/>
      <c r="AB203" s="27"/>
      <c r="AC203" s="28"/>
      <c r="AD203" s="29"/>
      <c r="AE203" s="29"/>
      <c r="AF203" s="29"/>
      <c r="AG203" s="28"/>
      <c r="AH203" s="29"/>
      <c r="AI203" s="29"/>
      <c r="AJ203" s="29"/>
    </row>
    <row r="204">
      <c r="C204" s="23"/>
      <c r="L204" s="24"/>
      <c r="M204" s="25"/>
      <c r="N204" s="24"/>
      <c r="O204" s="26"/>
      <c r="P204" s="24"/>
      <c r="V204" s="23"/>
      <c r="W204" s="27"/>
      <c r="X204" s="27"/>
      <c r="Y204" s="28"/>
      <c r="Z204" s="27"/>
      <c r="AA204" s="27"/>
      <c r="AB204" s="27"/>
      <c r="AC204" s="28"/>
      <c r="AD204" s="29"/>
      <c r="AE204" s="29"/>
      <c r="AF204" s="29"/>
      <c r="AG204" s="28"/>
      <c r="AH204" s="29"/>
      <c r="AI204" s="29"/>
      <c r="AJ204" s="29"/>
    </row>
    <row r="205">
      <c r="C205" s="23"/>
      <c r="L205" s="24"/>
      <c r="M205" s="25"/>
      <c r="N205" s="24"/>
      <c r="O205" s="26"/>
      <c r="P205" s="24"/>
      <c r="V205" s="23"/>
      <c r="W205" s="27"/>
      <c r="X205" s="27"/>
      <c r="Y205" s="28"/>
      <c r="Z205" s="27"/>
      <c r="AA205" s="27"/>
      <c r="AB205" s="27"/>
      <c r="AC205" s="28"/>
      <c r="AD205" s="29"/>
      <c r="AE205" s="29"/>
      <c r="AF205" s="29"/>
      <c r="AG205" s="28"/>
      <c r="AH205" s="29"/>
      <c r="AI205" s="29"/>
      <c r="AJ205" s="29"/>
    </row>
    <row r="206">
      <c r="C206" s="23"/>
      <c r="L206" s="24"/>
      <c r="M206" s="25"/>
      <c r="N206" s="24"/>
      <c r="O206" s="26"/>
      <c r="P206" s="24"/>
      <c r="V206" s="23"/>
      <c r="W206" s="27"/>
      <c r="X206" s="27"/>
      <c r="Y206" s="28"/>
      <c r="Z206" s="27"/>
      <c r="AA206" s="27"/>
      <c r="AB206" s="27"/>
      <c r="AC206" s="28"/>
      <c r="AD206" s="29"/>
      <c r="AE206" s="29"/>
      <c r="AF206" s="29"/>
      <c r="AG206" s="28"/>
      <c r="AH206" s="29"/>
      <c r="AI206" s="29"/>
      <c r="AJ206" s="29"/>
    </row>
    <row r="207">
      <c r="C207" s="23"/>
      <c r="L207" s="24"/>
      <c r="M207" s="25"/>
      <c r="N207" s="24"/>
      <c r="O207" s="26"/>
      <c r="P207" s="24"/>
      <c r="V207" s="23"/>
      <c r="W207" s="27"/>
      <c r="X207" s="27"/>
      <c r="Y207" s="28"/>
      <c r="Z207" s="27"/>
      <c r="AA207" s="27"/>
      <c r="AB207" s="27"/>
      <c r="AC207" s="28"/>
      <c r="AD207" s="29"/>
      <c r="AE207" s="29"/>
      <c r="AF207" s="29"/>
      <c r="AG207" s="28"/>
      <c r="AH207" s="29"/>
      <c r="AI207" s="29"/>
      <c r="AJ207" s="29"/>
    </row>
    <row r="208">
      <c r="C208" s="23"/>
      <c r="L208" s="24"/>
      <c r="M208" s="25"/>
      <c r="N208" s="24"/>
      <c r="O208" s="26"/>
      <c r="P208" s="24"/>
      <c r="V208" s="23"/>
      <c r="W208" s="27"/>
      <c r="X208" s="27"/>
      <c r="Y208" s="28"/>
      <c r="Z208" s="27"/>
      <c r="AA208" s="27"/>
      <c r="AB208" s="27"/>
      <c r="AC208" s="28"/>
      <c r="AD208" s="29"/>
      <c r="AE208" s="29"/>
      <c r="AF208" s="29"/>
      <c r="AG208" s="28"/>
      <c r="AH208" s="29"/>
      <c r="AI208" s="29"/>
      <c r="AJ208" s="29"/>
    </row>
    <row r="209">
      <c r="C209" s="23"/>
      <c r="L209" s="24"/>
      <c r="M209" s="25"/>
      <c r="N209" s="24"/>
      <c r="O209" s="26"/>
      <c r="P209" s="24"/>
      <c r="V209" s="23"/>
      <c r="W209" s="27"/>
      <c r="X209" s="27"/>
      <c r="Y209" s="28"/>
      <c r="Z209" s="27"/>
      <c r="AA209" s="27"/>
      <c r="AB209" s="27"/>
      <c r="AC209" s="28"/>
      <c r="AD209" s="29"/>
      <c r="AE209" s="29"/>
      <c r="AF209" s="29"/>
      <c r="AG209" s="28"/>
      <c r="AH209" s="29"/>
      <c r="AI209" s="29"/>
      <c r="AJ209" s="29"/>
    </row>
    <row r="210">
      <c r="C210" s="23"/>
      <c r="L210" s="24"/>
      <c r="M210" s="25"/>
      <c r="N210" s="24"/>
      <c r="O210" s="26"/>
      <c r="P210" s="24"/>
      <c r="V210" s="23"/>
      <c r="W210" s="27"/>
      <c r="X210" s="27"/>
      <c r="Y210" s="28"/>
      <c r="Z210" s="27"/>
      <c r="AA210" s="27"/>
      <c r="AB210" s="27"/>
      <c r="AC210" s="28"/>
      <c r="AD210" s="29"/>
      <c r="AE210" s="29"/>
      <c r="AF210" s="29"/>
      <c r="AG210" s="28"/>
      <c r="AH210" s="29"/>
      <c r="AI210" s="29"/>
      <c r="AJ210" s="29"/>
    </row>
    <row r="211">
      <c r="C211" s="23"/>
      <c r="L211" s="24"/>
      <c r="M211" s="25"/>
      <c r="N211" s="24"/>
      <c r="O211" s="26"/>
      <c r="P211" s="24"/>
      <c r="V211" s="23"/>
      <c r="W211" s="27"/>
      <c r="X211" s="27"/>
      <c r="Y211" s="28"/>
      <c r="Z211" s="27"/>
      <c r="AA211" s="27"/>
      <c r="AB211" s="27"/>
      <c r="AC211" s="28"/>
      <c r="AD211" s="29"/>
      <c r="AE211" s="29"/>
      <c r="AF211" s="29"/>
      <c r="AG211" s="28"/>
      <c r="AH211" s="29"/>
      <c r="AI211" s="29"/>
      <c r="AJ211" s="29"/>
    </row>
    <row r="212">
      <c r="C212" s="23"/>
      <c r="L212" s="24"/>
      <c r="M212" s="25"/>
      <c r="N212" s="24"/>
      <c r="O212" s="26"/>
      <c r="P212" s="24"/>
      <c r="V212" s="23"/>
      <c r="W212" s="27"/>
      <c r="X212" s="27"/>
      <c r="Y212" s="28"/>
      <c r="Z212" s="27"/>
      <c r="AA212" s="27"/>
      <c r="AB212" s="27"/>
      <c r="AC212" s="28"/>
      <c r="AD212" s="29"/>
      <c r="AE212" s="29"/>
      <c r="AF212" s="29"/>
      <c r="AG212" s="28"/>
      <c r="AH212" s="29"/>
      <c r="AI212" s="29"/>
      <c r="AJ212" s="29"/>
    </row>
    <row r="213">
      <c r="C213" s="23"/>
      <c r="L213" s="24"/>
      <c r="M213" s="25"/>
      <c r="N213" s="24"/>
      <c r="O213" s="26"/>
      <c r="P213" s="24"/>
      <c r="V213" s="23"/>
      <c r="W213" s="27"/>
      <c r="X213" s="27"/>
      <c r="Y213" s="28"/>
      <c r="Z213" s="27"/>
      <c r="AA213" s="27"/>
      <c r="AB213" s="27"/>
      <c r="AC213" s="28"/>
      <c r="AD213" s="29"/>
      <c r="AE213" s="29"/>
      <c r="AF213" s="29"/>
      <c r="AG213" s="28"/>
      <c r="AH213" s="29"/>
      <c r="AI213" s="29"/>
      <c r="AJ213" s="29"/>
    </row>
    <row r="214">
      <c r="C214" s="23"/>
      <c r="L214" s="24"/>
      <c r="M214" s="25"/>
      <c r="N214" s="24"/>
      <c r="O214" s="26"/>
      <c r="P214" s="24"/>
      <c r="V214" s="23"/>
      <c r="W214" s="27"/>
      <c r="X214" s="27"/>
      <c r="Y214" s="28"/>
      <c r="Z214" s="27"/>
      <c r="AA214" s="27"/>
      <c r="AB214" s="27"/>
      <c r="AC214" s="28"/>
      <c r="AD214" s="29"/>
      <c r="AE214" s="29"/>
      <c r="AF214" s="29"/>
      <c r="AG214" s="28"/>
      <c r="AH214" s="29"/>
      <c r="AI214" s="29"/>
      <c r="AJ214" s="29"/>
    </row>
    <row r="215">
      <c r="C215" s="23"/>
      <c r="L215" s="24"/>
      <c r="M215" s="25"/>
      <c r="N215" s="24"/>
      <c r="O215" s="26"/>
      <c r="P215" s="24"/>
      <c r="V215" s="23"/>
      <c r="W215" s="27"/>
      <c r="X215" s="27"/>
      <c r="Y215" s="28"/>
      <c r="Z215" s="27"/>
      <c r="AA215" s="27"/>
      <c r="AB215" s="27"/>
      <c r="AC215" s="28"/>
      <c r="AD215" s="29"/>
      <c r="AE215" s="29"/>
      <c r="AF215" s="29"/>
      <c r="AG215" s="28"/>
      <c r="AH215" s="29"/>
      <c r="AI215" s="29"/>
      <c r="AJ215" s="29"/>
    </row>
    <row r="216">
      <c r="C216" s="23"/>
      <c r="L216" s="24"/>
      <c r="M216" s="25"/>
      <c r="N216" s="24"/>
      <c r="O216" s="26"/>
      <c r="P216" s="24"/>
      <c r="V216" s="23"/>
      <c r="W216" s="27"/>
      <c r="X216" s="27"/>
      <c r="Y216" s="28"/>
      <c r="Z216" s="27"/>
      <c r="AA216" s="27"/>
      <c r="AB216" s="27"/>
      <c r="AC216" s="28"/>
      <c r="AD216" s="29"/>
      <c r="AE216" s="29"/>
      <c r="AF216" s="29"/>
      <c r="AG216" s="28"/>
      <c r="AH216" s="29"/>
      <c r="AI216" s="29"/>
      <c r="AJ216" s="29"/>
    </row>
    <row r="217">
      <c r="C217" s="23"/>
      <c r="L217" s="24"/>
      <c r="M217" s="25"/>
      <c r="N217" s="24"/>
      <c r="O217" s="26"/>
      <c r="P217" s="24"/>
      <c r="V217" s="23"/>
      <c r="W217" s="27"/>
      <c r="X217" s="27"/>
      <c r="Y217" s="28"/>
      <c r="Z217" s="27"/>
      <c r="AA217" s="27"/>
      <c r="AB217" s="27"/>
      <c r="AC217" s="28"/>
      <c r="AD217" s="29"/>
      <c r="AE217" s="29"/>
      <c r="AF217" s="29"/>
      <c r="AG217" s="28"/>
      <c r="AH217" s="29"/>
      <c r="AI217" s="29"/>
      <c r="AJ217" s="29"/>
    </row>
    <row r="218">
      <c r="C218" s="23"/>
      <c r="L218" s="24"/>
      <c r="M218" s="25"/>
      <c r="N218" s="24"/>
      <c r="O218" s="26"/>
      <c r="P218" s="24"/>
      <c r="V218" s="23"/>
      <c r="W218" s="27"/>
      <c r="X218" s="27"/>
      <c r="Y218" s="28"/>
      <c r="Z218" s="27"/>
      <c r="AA218" s="27"/>
      <c r="AB218" s="27"/>
      <c r="AC218" s="28"/>
      <c r="AD218" s="29"/>
      <c r="AE218" s="29"/>
      <c r="AF218" s="29"/>
      <c r="AG218" s="28"/>
      <c r="AH218" s="29"/>
      <c r="AI218" s="29"/>
      <c r="AJ218" s="29"/>
    </row>
    <row r="219">
      <c r="C219" s="23"/>
      <c r="L219" s="24"/>
      <c r="M219" s="25"/>
      <c r="N219" s="24"/>
      <c r="O219" s="26"/>
      <c r="P219" s="24"/>
      <c r="V219" s="23"/>
      <c r="W219" s="27"/>
      <c r="X219" s="27"/>
      <c r="Y219" s="28"/>
      <c r="Z219" s="27"/>
      <c r="AA219" s="27"/>
      <c r="AB219" s="27"/>
      <c r="AC219" s="28"/>
      <c r="AD219" s="29"/>
      <c r="AE219" s="29"/>
      <c r="AF219" s="29"/>
      <c r="AG219" s="28"/>
      <c r="AH219" s="29"/>
      <c r="AI219" s="29"/>
      <c r="AJ219" s="29"/>
    </row>
    <row r="220">
      <c r="C220" s="23"/>
      <c r="L220" s="24"/>
      <c r="M220" s="25"/>
      <c r="N220" s="24"/>
      <c r="O220" s="26"/>
      <c r="P220" s="24"/>
      <c r="V220" s="23"/>
      <c r="W220" s="27"/>
      <c r="X220" s="27"/>
      <c r="Y220" s="28"/>
      <c r="Z220" s="27"/>
      <c r="AA220" s="27"/>
      <c r="AB220" s="27"/>
      <c r="AC220" s="28"/>
      <c r="AD220" s="29"/>
      <c r="AE220" s="29"/>
      <c r="AF220" s="29"/>
      <c r="AG220" s="28"/>
      <c r="AH220" s="29"/>
      <c r="AI220" s="29"/>
      <c r="AJ220" s="29"/>
    </row>
    <row r="221">
      <c r="C221" s="23"/>
      <c r="L221" s="24"/>
      <c r="M221" s="25"/>
      <c r="N221" s="24"/>
      <c r="O221" s="26"/>
      <c r="P221" s="24"/>
      <c r="V221" s="23"/>
      <c r="W221" s="27"/>
      <c r="X221" s="27"/>
      <c r="Y221" s="28"/>
      <c r="Z221" s="27"/>
      <c r="AA221" s="27"/>
      <c r="AB221" s="27"/>
      <c r="AC221" s="28"/>
      <c r="AD221" s="29"/>
      <c r="AE221" s="29"/>
      <c r="AF221" s="29"/>
      <c r="AG221" s="28"/>
      <c r="AH221" s="29"/>
      <c r="AI221" s="29"/>
      <c r="AJ221" s="29"/>
    </row>
    <row r="222">
      <c r="C222" s="23"/>
      <c r="L222" s="24"/>
      <c r="M222" s="25"/>
      <c r="N222" s="24"/>
      <c r="O222" s="26"/>
      <c r="P222" s="24"/>
      <c r="V222" s="23"/>
      <c r="W222" s="27"/>
      <c r="X222" s="27"/>
      <c r="Y222" s="28"/>
      <c r="Z222" s="27"/>
      <c r="AA222" s="27"/>
      <c r="AB222" s="27"/>
      <c r="AC222" s="28"/>
      <c r="AD222" s="29"/>
      <c r="AE222" s="29"/>
      <c r="AF222" s="29"/>
      <c r="AG222" s="28"/>
      <c r="AH222" s="29"/>
      <c r="AI222" s="29"/>
      <c r="AJ222" s="29"/>
    </row>
    <row r="223">
      <c r="C223" s="23"/>
      <c r="L223" s="24"/>
      <c r="M223" s="25"/>
      <c r="N223" s="24"/>
      <c r="O223" s="26"/>
      <c r="P223" s="24"/>
      <c r="V223" s="23"/>
      <c r="W223" s="27"/>
      <c r="X223" s="27"/>
      <c r="Y223" s="28"/>
      <c r="Z223" s="27"/>
      <c r="AA223" s="27"/>
      <c r="AB223" s="27"/>
      <c r="AC223" s="28"/>
      <c r="AD223" s="29"/>
      <c r="AE223" s="29"/>
      <c r="AF223" s="29"/>
      <c r="AG223" s="28"/>
      <c r="AH223" s="29"/>
      <c r="AI223" s="29"/>
      <c r="AJ223" s="29"/>
    </row>
    <row r="224">
      <c r="C224" s="23"/>
      <c r="L224" s="24"/>
      <c r="M224" s="25"/>
      <c r="N224" s="24"/>
      <c r="O224" s="26"/>
      <c r="P224" s="24"/>
      <c r="V224" s="23"/>
      <c r="W224" s="27"/>
      <c r="X224" s="27"/>
      <c r="Y224" s="28"/>
      <c r="Z224" s="27"/>
      <c r="AA224" s="27"/>
      <c r="AB224" s="27"/>
      <c r="AC224" s="28"/>
      <c r="AD224" s="29"/>
      <c r="AE224" s="29"/>
      <c r="AF224" s="29"/>
      <c r="AG224" s="28"/>
      <c r="AH224" s="29"/>
      <c r="AI224" s="29"/>
      <c r="AJ224" s="29"/>
    </row>
    <row r="225">
      <c r="C225" s="23"/>
      <c r="L225" s="24"/>
      <c r="M225" s="25"/>
      <c r="N225" s="24"/>
      <c r="O225" s="26"/>
      <c r="P225" s="24"/>
      <c r="V225" s="23"/>
      <c r="W225" s="27"/>
      <c r="X225" s="27"/>
      <c r="Y225" s="28"/>
      <c r="Z225" s="27"/>
      <c r="AA225" s="27"/>
      <c r="AB225" s="27"/>
      <c r="AC225" s="28"/>
      <c r="AD225" s="29"/>
      <c r="AE225" s="29"/>
      <c r="AF225" s="29"/>
      <c r="AG225" s="28"/>
      <c r="AH225" s="29"/>
      <c r="AI225" s="29"/>
      <c r="AJ225" s="29"/>
    </row>
    <row r="226">
      <c r="C226" s="23"/>
      <c r="L226" s="24"/>
      <c r="M226" s="25"/>
      <c r="N226" s="24"/>
      <c r="O226" s="26"/>
      <c r="P226" s="24"/>
      <c r="V226" s="23"/>
      <c r="W226" s="27"/>
      <c r="X226" s="27"/>
      <c r="Y226" s="28"/>
      <c r="Z226" s="27"/>
      <c r="AA226" s="27"/>
      <c r="AB226" s="27"/>
      <c r="AC226" s="28"/>
      <c r="AD226" s="29"/>
      <c r="AE226" s="29"/>
      <c r="AF226" s="29"/>
      <c r="AG226" s="28"/>
      <c r="AH226" s="29"/>
      <c r="AI226" s="29"/>
      <c r="AJ226" s="29"/>
    </row>
    <row r="227">
      <c r="C227" s="23"/>
      <c r="L227" s="24"/>
      <c r="M227" s="25"/>
      <c r="N227" s="24"/>
      <c r="O227" s="26"/>
      <c r="P227" s="24"/>
      <c r="V227" s="23"/>
      <c r="W227" s="27"/>
      <c r="X227" s="27"/>
      <c r="Y227" s="28"/>
      <c r="Z227" s="27"/>
      <c r="AA227" s="27"/>
      <c r="AB227" s="27"/>
      <c r="AC227" s="28"/>
      <c r="AD227" s="29"/>
      <c r="AE227" s="29"/>
      <c r="AF227" s="29"/>
      <c r="AG227" s="28"/>
      <c r="AH227" s="29"/>
      <c r="AI227" s="29"/>
      <c r="AJ227" s="29"/>
    </row>
    <row r="228">
      <c r="C228" s="23"/>
      <c r="L228" s="24"/>
      <c r="M228" s="25"/>
      <c r="N228" s="24"/>
      <c r="O228" s="26"/>
      <c r="P228" s="24"/>
      <c r="V228" s="23"/>
      <c r="W228" s="27"/>
      <c r="X228" s="27"/>
      <c r="Y228" s="28"/>
      <c r="Z228" s="27"/>
      <c r="AA228" s="27"/>
      <c r="AB228" s="27"/>
      <c r="AC228" s="28"/>
      <c r="AD228" s="29"/>
      <c r="AE228" s="29"/>
      <c r="AF228" s="29"/>
      <c r="AG228" s="28"/>
      <c r="AH228" s="29"/>
      <c r="AI228" s="29"/>
      <c r="AJ228" s="29"/>
    </row>
    <row r="229">
      <c r="C229" s="23"/>
      <c r="L229" s="24"/>
      <c r="M229" s="25"/>
      <c r="N229" s="24"/>
      <c r="O229" s="26"/>
      <c r="P229" s="24"/>
      <c r="V229" s="23"/>
      <c r="W229" s="27"/>
      <c r="X229" s="27"/>
      <c r="Y229" s="28"/>
      <c r="Z229" s="27"/>
      <c r="AA229" s="27"/>
      <c r="AB229" s="27"/>
      <c r="AC229" s="28"/>
      <c r="AD229" s="29"/>
      <c r="AE229" s="29"/>
      <c r="AF229" s="29"/>
      <c r="AG229" s="28"/>
      <c r="AH229" s="29"/>
      <c r="AI229" s="29"/>
      <c r="AJ229" s="29"/>
    </row>
    <row r="230">
      <c r="C230" s="23"/>
      <c r="L230" s="24"/>
      <c r="M230" s="25"/>
      <c r="N230" s="24"/>
      <c r="O230" s="26"/>
      <c r="P230" s="24"/>
      <c r="V230" s="23"/>
      <c r="W230" s="27"/>
      <c r="X230" s="27"/>
      <c r="Y230" s="28"/>
      <c r="Z230" s="27"/>
      <c r="AA230" s="27"/>
      <c r="AB230" s="27"/>
      <c r="AC230" s="28"/>
      <c r="AD230" s="29"/>
      <c r="AE230" s="29"/>
      <c r="AF230" s="29"/>
      <c r="AG230" s="28"/>
      <c r="AH230" s="29"/>
      <c r="AI230" s="29"/>
      <c r="AJ230" s="29"/>
    </row>
    <row r="231">
      <c r="C231" s="23"/>
      <c r="L231" s="24"/>
      <c r="M231" s="25"/>
      <c r="N231" s="24"/>
      <c r="O231" s="26"/>
      <c r="P231" s="24"/>
      <c r="V231" s="23"/>
      <c r="W231" s="27"/>
      <c r="X231" s="27"/>
      <c r="Y231" s="28"/>
      <c r="Z231" s="27"/>
      <c r="AA231" s="27"/>
      <c r="AB231" s="27"/>
      <c r="AC231" s="28"/>
      <c r="AD231" s="29"/>
      <c r="AE231" s="29"/>
      <c r="AF231" s="29"/>
      <c r="AG231" s="28"/>
      <c r="AH231" s="29"/>
      <c r="AI231" s="29"/>
      <c r="AJ231" s="29"/>
    </row>
    <row r="232">
      <c r="C232" s="23"/>
      <c r="L232" s="24"/>
      <c r="M232" s="25"/>
      <c r="N232" s="24"/>
      <c r="O232" s="26"/>
      <c r="P232" s="24"/>
      <c r="V232" s="23"/>
      <c r="W232" s="27"/>
      <c r="X232" s="27"/>
      <c r="Y232" s="28"/>
      <c r="Z232" s="27"/>
      <c r="AA232" s="27"/>
      <c r="AB232" s="27"/>
      <c r="AC232" s="28"/>
      <c r="AD232" s="29"/>
      <c r="AE232" s="29"/>
      <c r="AF232" s="29"/>
      <c r="AG232" s="28"/>
      <c r="AH232" s="29"/>
      <c r="AI232" s="29"/>
      <c r="AJ232" s="29"/>
    </row>
    <row r="233">
      <c r="C233" s="23"/>
      <c r="L233" s="24"/>
      <c r="M233" s="25"/>
      <c r="N233" s="24"/>
      <c r="O233" s="26"/>
      <c r="P233" s="24"/>
      <c r="V233" s="23"/>
      <c r="W233" s="27"/>
      <c r="X233" s="27"/>
      <c r="Y233" s="28"/>
      <c r="Z233" s="27"/>
      <c r="AA233" s="27"/>
      <c r="AB233" s="27"/>
      <c r="AC233" s="28"/>
      <c r="AD233" s="29"/>
      <c r="AE233" s="29"/>
      <c r="AF233" s="29"/>
      <c r="AG233" s="28"/>
      <c r="AH233" s="29"/>
      <c r="AI233" s="29"/>
      <c r="AJ233" s="29"/>
    </row>
    <row r="234">
      <c r="C234" s="23"/>
      <c r="L234" s="24"/>
      <c r="M234" s="25"/>
      <c r="N234" s="24"/>
      <c r="O234" s="26"/>
      <c r="P234" s="24"/>
      <c r="V234" s="23"/>
      <c r="W234" s="27"/>
      <c r="X234" s="27"/>
      <c r="Y234" s="28"/>
      <c r="Z234" s="27"/>
      <c r="AA234" s="27"/>
      <c r="AB234" s="27"/>
      <c r="AC234" s="28"/>
      <c r="AD234" s="29"/>
      <c r="AE234" s="29"/>
      <c r="AF234" s="29"/>
      <c r="AG234" s="28"/>
      <c r="AH234" s="29"/>
      <c r="AI234" s="29"/>
      <c r="AJ234" s="29"/>
    </row>
    <row r="235">
      <c r="C235" s="23"/>
      <c r="L235" s="24"/>
      <c r="M235" s="25"/>
      <c r="N235" s="24"/>
      <c r="O235" s="26"/>
      <c r="P235" s="24"/>
      <c r="V235" s="23"/>
      <c r="W235" s="27"/>
      <c r="X235" s="27"/>
      <c r="Y235" s="28"/>
      <c r="Z235" s="27"/>
      <c r="AA235" s="27"/>
      <c r="AB235" s="27"/>
      <c r="AC235" s="28"/>
      <c r="AD235" s="29"/>
      <c r="AE235" s="29"/>
      <c r="AF235" s="29"/>
      <c r="AG235" s="28"/>
      <c r="AH235" s="29"/>
      <c r="AI235" s="29"/>
      <c r="AJ235" s="29"/>
    </row>
    <row r="236">
      <c r="C236" s="23"/>
      <c r="L236" s="24"/>
      <c r="M236" s="25"/>
      <c r="N236" s="24"/>
      <c r="O236" s="26"/>
      <c r="P236" s="24"/>
      <c r="V236" s="23"/>
      <c r="W236" s="27"/>
      <c r="X236" s="27"/>
      <c r="Y236" s="28"/>
      <c r="Z236" s="27"/>
      <c r="AA236" s="27"/>
      <c r="AB236" s="27"/>
      <c r="AC236" s="28"/>
      <c r="AD236" s="29"/>
      <c r="AE236" s="29"/>
      <c r="AF236" s="29"/>
      <c r="AG236" s="28"/>
      <c r="AH236" s="29"/>
      <c r="AI236" s="29"/>
      <c r="AJ236" s="29"/>
    </row>
    <row r="237">
      <c r="C237" s="23"/>
      <c r="L237" s="24"/>
      <c r="M237" s="25"/>
      <c r="N237" s="24"/>
      <c r="O237" s="26"/>
      <c r="P237" s="24"/>
      <c r="V237" s="23"/>
      <c r="W237" s="27"/>
      <c r="X237" s="27"/>
      <c r="Y237" s="28"/>
      <c r="Z237" s="27"/>
      <c r="AA237" s="27"/>
      <c r="AB237" s="27"/>
      <c r="AC237" s="28"/>
      <c r="AD237" s="29"/>
      <c r="AE237" s="29"/>
      <c r="AF237" s="29"/>
      <c r="AG237" s="28"/>
      <c r="AH237" s="29"/>
      <c r="AI237" s="29"/>
      <c r="AJ237" s="29"/>
    </row>
    <row r="238">
      <c r="C238" s="23"/>
      <c r="L238" s="24"/>
      <c r="M238" s="25"/>
      <c r="N238" s="24"/>
      <c r="O238" s="26"/>
      <c r="P238" s="24"/>
      <c r="V238" s="23"/>
      <c r="W238" s="27"/>
      <c r="X238" s="27"/>
      <c r="Y238" s="28"/>
      <c r="Z238" s="27"/>
      <c r="AA238" s="27"/>
      <c r="AB238" s="27"/>
      <c r="AC238" s="28"/>
      <c r="AD238" s="29"/>
      <c r="AE238" s="29"/>
      <c r="AF238" s="29"/>
      <c r="AG238" s="28"/>
      <c r="AH238" s="29"/>
      <c r="AI238" s="29"/>
      <c r="AJ238" s="29"/>
    </row>
    <row r="239">
      <c r="C239" s="23"/>
      <c r="L239" s="24"/>
      <c r="M239" s="25"/>
      <c r="N239" s="24"/>
      <c r="O239" s="26"/>
      <c r="P239" s="24"/>
      <c r="V239" s="23"/>
      <c r="W239" s="27"/>
      <c r="X239" s="27"/>
      <c r="Y239" s="28"/>
      <c r="Z239" s="27"/>
      <c r="AA239" s="27"/>
      <c r="AB239" s="27"/>
      <c r="AC239" s="28"/>
      <c r="AD239" s="29"/>
      <c r="AE239" s="29"/>
      <c r="AF239" s="29"/>
      <c r="AG239" s="28"/>
      <c r="AH239" s="29"/>
      <c r="AI239" s="29"/>
      <c r="AJ239" s="29"/>
    </row>
    <row r="240">
      <c r="C240" s="23"/>
      <c r="L240" s="24"/>
      <c r="M240" s="25"/>
      <c r="N240" s="24"/>
      <c r="O240" s="26"/>
      <c r="P240" s="24"/>
      <c r="V240" s="23"/>
      <c r="W240" s="27"/>
      <c r="X240" s="27"/>
      <c r="Y240" s="28"/>
      <c r="Z240" s="27"/>
      <c r="AA240" s="27"/>
      <c r="AB240" s="27"/>
      <c r="AC240" s="28"/>
      <c r="AD240" s="29"/>
      <c r="AE240" s="29"/>
      <c r="AF240" s="29"/>
      <c r="AG240" s="28"/>
      <c r="AH240" s="29"/>
      <c r="AI240" s="29"/>
      <c r="AJ240" s="29"/>
    </row>
    <row r="241">
      <c r="C241" s="23"/>
      <c r="L241" s="24"/>
      <c r="M241" s="25"/>
      <c r="N241" s="24"/>
      <c r="O241" s="26"/>
      <c r="P241" s="24"/>
      <c r="V241" s="23"/>
      <c r="W241" s="27"/>
      <c r="X241" s="27"/>
      <c r="Y241" s="28"/>
      <c r="Z241" s="27"/>
      <c r="AA241" s="27"/>
      <c r="AB241" s="27"/>
      <c r="AC241" s="28"/>
      <c r="AD241" s="29"/>
      <c r="AE241" s="29"/>
      <c r="AF241" s="29"/>
      <c r="AG241" s="28"/>
      <c r="AH241" s="29"/>
      <c r="AI241" s="29"/>
      <c r="AJ241" s="29"/>
    </row>
    <row r="242">
      <c r="C242" s="23"/>
      <c r="L242" s="24"/>
      <c r="M242" s="25"/>
      <c r="N242" s="24"/>
      <c r="O242" s="26"/>
      <c r="P242" s="24"/>
      <c r="V242" s="23"/>
      <c r="W242" s="27"/>
      <c r="X242" s="27"/>
      <c r="Y242" s="28"/>
      <c r="Z242" s="27"/>
      <c r="AA242" s="27"/>
      <c r="AB242" s="27"/>
      <c r="AC242" s="28"/>
      <c r="AD242" s="29"/>
      <c r="AE242" s="29"/>
      <c r="AF242" s="29"/>
      <c r="AG242" s="28"/>
      <c r="AH242" s="29"/>
      <c r="AI242" s="29"/>
      <c r="AJ242" s="29"/>
    </row>
    <row r="243">
      <c r="C243" s="23"/>
      <c r="L243" s="24"/>
      <c r="M243" s="25"/>
      <c r="N243" s="24"/>
      <c r="O243" s="26"/>
      <c r="P243" s="24"/>
      <c r="V243" s="23"/>
      <c r="W243" s="27"/>
      <c r="X243" s="27"/>
      <c r="Y243" s="28"/>
      <c r="Z243" s="27"/>
      <c r="AA243" s="27"/>
      <c r="AB243" s="27"/>
      <c r="AC243" s="28"/>
      <c r="AD243" s="29"/>
      <c r="AE243" s="29"/>
      <c r="AF243" s="29"/>
      <c r="AG243" s="28"/>
      <c r="AH243" s="29"/>
      <c r="AI243" s="29"/>
      <c r="AJ243" s="29"/>
    </row>
    <row r="244">
      <c r="C244" s="23"/>
      <c r="L244" s="24"/>
      <c r="M244" s="25"/>
      <c r="N244" s="24"/>
      <c r="O244" s="26"/>
      <c r="P244" s="24"/>
      <c r="V244" s="23"/>
      <c r="W244" s="27"/>
      <c r="X244" s="27"/>
      <c r="Y244" s="28"/>
      <c r="Z244" s="27"/>
      <c r="AA244" s="27"/>
      <c r="AB244" s="27"/>
      <c r="AC244" s="28"/>
      <c r="AD244" s="29"/>
      <c r="AE244" s="29"/>
      <c r="AF244" s="29"/>
      <c r="AG244" s="28"/>
      <c r="AH244" s="29"/>
      <c r="AI244" s="29"/>
      <c r="AJ244" s="29"/>
    </row>
    <row r="245">
      <c r="C245" s="23"/>
      <c r="L245" s="24"/>
      <c r="M245" s="25"/>
      <c r="N245" s="24"/>
      <c r="O245" s="26"/>
      <c r="P245" s="24"/>
      <c r="V245" s="23"/>
      <c r="W245" s="27"/>
      <c r="X245" s="27"/>
      <c r="Y245" s="28"/>
      <c r="Z245" s="27"/>
      <c r="AA245" s="27"/>
      <c r="AB245" s="27"/>
      <c r="AC245" s="28"/>
      <c r="AD245" s="29"/>
      <c r="AE245" s="29"/>
      <c r="AF245" s="29"/>
      <c r="AG245" s="28"/>
      <c r="AH245" s="29"/>
      <c r="AI245" s="29"/>
      <c r="AJ245" s="29"/>
    </row>
    <row r="246">
      <c r="C246" s="23"/>
      <c r="L246" s="24"/>
      <c r="M246" s="25"/>
      <c r="N246" s="24"/>
      <c r="O246" s="26"/>
      <c r="P246" s="24"/>
      <c r="V246" s="23"/>
      <c r="W246" s="27"/>
      <c r="X246" s="27"/>
      <c r="Y246" s="28"/>
      <c r="Z246" s="27"/>
      <c r="AA246" s="27"/>
      <c r="AB246" s="27"/>
      <c r="AC246" s="28"/>
      <c r="AD246" s="29"/>
      <c r="AE246" s="29"/>
      <c r="AF246" s="29"/>
      <c r="AG246" s="28"/>
      <c r="AH246" s="29"/>
      <c r="AI246" s="29"/>
      <c r="AJ246" s="29"/>
    </row>
    <row r="247">
      <c r="C247" s="23"/>
      <c r="L247" s="24"/>
      <c r="M247" s="25"/>
      <c r="N247" s="24"/>
      <c r="O247" s="26"/>
      <c r="P247" s="24"/>
      <c r="V247" s="23"/>
      <c r="W247" s="27"/>
      <c r="X247" s="27"/>
      <c r="Y247" s="28"/>
      <c r="Z247" s="27"/>
      <c r="AA247" s="27"/>
      <c r="AB247" s="27"/>
      <c r="AC247" s="28"/>
      <c r="AD247" s="29"/>
      <c r="AE247" s="29"/>
      <c r="AF247" s="29"/>
      <c r="AG247" s="28"/>
      <c r="AH247" s="29"/>
      <c r="AI247" s="29"/>
      <c r="AJ247" s="29"/>
    </row>
    <row r="248">
      <c r="C248" s="23"/>
      <c r="L248" s="24"/>
      <c r="M248" s="25"/>
      <c r="N248" s="24"/>
      <c r="O248" s="26"/>
      <c r="P248" s="24"/>
      <c r="V248" s="23"/>
      <c r="W248" s="27"/>
      <c r="X248" s="27"/>
      <c r="Y248" s="28"/>
      <c r="Z248" s="27"/>
      <c r="AA248" s="27"/>
      <c r="AB248" s="27"/>
      <c r="AC248" s="28"/>
      <c r="AD248" s="29"/>
      <c r="AE248" s="29"/>
      <c r="AF248" s="29"/>
      <c r="AG248" s="28"/>
      <c r="AH248" s="29"/>
      <c r="AI248" s="29"/>
      <c r="AJ248" s="29"/>
    </row>
    <row r="249">
      <c r="C249" s="23"/>
      <c r="L249" s="24"/>
      <c r="M249" s="25"/>
      <c r="N249" s="24"/>
      <c r="O249" s="26"/>
      <c r="P249" s="24"/>
      <c r="V249" s="23"/>
      <c r="W249" s="27"/>
      <c r="X249" s="27"/>
      <c r="Y249" s="28"/>
      <c r="Z249" s="27"/>
      <c r="AA249" s="27"/>
      <c r="AB249" s="27"/>
      <c r="AC249" s="28"/>
      <c r="AD249" s="29"/>
      <c r="AE249" s="29"/>
      <c r="AF249" s="29"/>
      <c r="AG249" s="28"/>
      <c r="AH249" s="29"/>
      <c r="AI249" s="29"/>
      <c r="AJ249" s="29"/>
    </row>
    <row r="250">
      <c r="C250" s="23"/>
      <c r="L250" s="24"/>
      <c r="M250" s="25"/>
      <c r="N250" s="24"/>
      <c r="O250" s="26"/>
      <c r="P250" s="24"/>
      <c r="V250" s="23"/>
      <c r="W250" s="27"/>
      <c r="X250" s="27"/>
      <c r="Y250" s="28"/>
      <c r="Z250" s="27"/>
      <c r="AA250" s="27"/>
      <c r="AB250" s="27"/>
      <c r="AC250" s="28"/>
      <c r="AD250" s="29"/>
      <c r="AE250" s="29"/>
      <c r="AF250" s="29"/>
      <c r="AG250" s="28"/>
      <c r="AH250" s="29"/>
      <c r="AI250" s="29"/>
      <c r="AJ250" s="29"/>
    </row>
    <row r="251">
      <c r="C251" s="23"/>
      <c r="L251" s="24"/>
      <c r="M251" s="25"/>
      <c r="N251" s="24"/>
      <c r="O251" s="26"/>
      <c r="P251" s="24"/>
      <c r="V251" s="23"/>
      <c r="W251" s="27"/>
      <c r="X251" s="27"/>
      <c r="Y251" s="28"/>
      <c r="Z251" s="27"/>
      <c r="AA251" s="27"/>
      <c r="AB251" s="27"/>
      <c r="AC251" s="28"/>
      <c r="AD251" s="29"/>
      <c r="AE251" s="29"/>
      <c r="AF251" s="29"/>
      <c r="AG251" s="28"/>
      <c r="AH251" s="29"/>
      <c r="AI251" s="29"/>
      <c r="AJ251" s="29"/>
    </row>
    <row r="252">
      <c r="C252" s="23"/>
      <c r="L252" s="24"/>
      <c r="M252" s="25"/>
      <c r="N252" s="24"/>
      <c r="O252" s="26"/>
      <c r="P252" s="24"/>
      <c r="V252" s="23"/>
      <c r="W252" s="27"/>
      <c r="X252" s="27"/>
      <c r="Y252" s="28"/>
      <c r="Z252" s="27"/>
      <c r="AA252" s="27"/>
      <c r="AB252" s="27"/>
      <c r="AC252" s="28"/>
      <c r="AD252" s="29"/>
      <c r="AE252" s="29"/>
      <c r="AF252" s="29"/>
      <c r="AG252" s="28"/>
      <c r="AH252" s="29"/>
      <c r="AI252" s="29"/>
      <c r="AJ252" s="29"/>
    </row>
    <row r="253">
      <c r="C253" s="23"/>
      <c r="L253" s="24"/>
      <c r="M253" s="25"/>
      <c r="N253" s="24"/>
      <c r="O253" s="26"/>
      <c r="P253" s="24"/>
      <c r="V253" s="23"/>
      <c r="W253" s="27"/>
      <c r="X253" s="27"/>
      <c r="Y253" s="28"/>
      <c r="Z253" s="27"/>
      <c r="AA253" s="27"/>
      <c r="AB253" s="27"/>
      <c r="AC253" s="28"/>
      <c r="AD253" s="29"/>
      <c r="AE253" s="29"/>
      <c r="AF253" s="29"/>
      <c r="AG253" s="28"/>
      <c r="AH253" s="29"/>
      <c r="AI253" s="29"/>
      <c r="AJ253" s="29"/>
    </row>
    <row r="254">
      <c r="C254" s="23"/>
      <c r="L254" s="24"/>
      <c r="M254" s="25"/>
      <c r="N254" s="24"/>
      <c r="O254" s="26"/>
      <c r="P254" s="24"/>
      <c r="V254" s="23"/>
      <c r="W254" s="27"/>
      <c r="X254" s="27"/>
      <c r="Y254" s="28"/>
      <c r="Z254" s="27"/>
      <c r="AA254" s="27"/>
      <c r="AB254" s="27"/>
      <c r="AC254" s="28"/>
      <c r="AD254" s="29"/>
      <c r="AE254" s="29"/>
      <c r="AF254" s="29"/>
      <c r="AG254" s="28"/>
      <c r="AH254" s="29"/>
      <c r="AI254" s="29"/>
      <c r="AJ254" s="29"/>
    </row>
    <row r="255">
      <c r="C255" s="23"/>
      <c r="L255" s="24"/>
      <c r="M255" s="25"/>
      <c r="N255" s="24"/>
      <c r="O255" s="26"/>
      <c r="P255" s="24"/>
      <c r="V255" s="23"/>
      <c r="W255" s="27"/>
      <c r="X255" s="27"/>
      <c r="Y255" s="28"/>
      <c r="Z255" s="27"/>
      <c r="AA255" s="27"/>
      <c r="AB255" s="27"/>
      <c r="AC255" s="28"/>
      <c r="AD255" s="29"/>
      <c r="AE255" s="29"/>
      <c r="AF255" s="29"/>
      <c r="AG255" s="28"/>
      <c r="AH255" s="29"/>
      <c r="AI255" s="29"/>
      <c r="AJ255" s="29"/>
    </row>
    <row r="256">
      <c r="C256" s="23"/>
      <c r="L256" s="24"/>
      <c r="M256" s="25"/>
      <c r="N256" s="24"/>
      <c r="O256" s="26"/>
      <c r="P256" s="24"/>
      <c r="V256" s="23"/>
      <c r="W256" s="27"/>
      <c r="X256" s="27"/>
      <c r="Y256" s="28"/>
      <c r="Z256" s="27"/>
      <c r="AA256" s="27"/>
      <c r="AB256" s="27"/>
      <c r="AC256" s="28"/>
      <c r="AD256" s="29"/>
      <c r="AE256" s="29"/>
      <c r="AF256" s="29"/>
      <c r="AG256" s="28"/>
      <c r="AH256" s="29"/>
      <c r="AI256" s="29"/>
      <c r="AJ256" s="29"/>
    </row>
    <row r="257">
      <c r="C257" s="23"/>
      <c r="L257" s="24"/>
      <c r="M257" s="25"/>
      <c r="N257" s="24"/>
      <c r="O257" s="26"/>
      <c r="P257" s="24"/>
      <c r="V257" s="23"/>
      <c r="W257" s="27"/>
      <c r="X257" s="27"/>
      <c r="Y257" s="28"/>
      <c r="Z257" s="27"/>
      <c r="AA257" s="27"/>
      <c r="AB257" s="27"/>
      <c r="AC257" s="28"/>
      <c r="AD257" s="29"/>
      <c r="AE257" s="29"/>
      <c r="AF257" s="29"/>
      <c r="AG257" s="28"/>
      <c r="AH257" s="29"/>
      <c r="AI257" s="29"/>
      <c r="AJ257" s="29"/>
    </row>
    <row r="258">
      <c r="C258" s="23"/>
      <c r="L258" s="24"/>
      <c r="M258" s="25"/>
      <c r="N258" s="24"/>
      <c r="O258" s="26"/>
      <c r="P258" s="24"/>
      <c r="V258" s="23"/>
      <c r="W258" s="27"/>
      <c r="X258" s="27"/>
      <c r="Y258" s="28"/>
      <c r="Z258" s="27"/>
      <c r="AA258" s="27"/>
      <c r="AB258" s="27"/>
      <c r="AC258" s="28"/>
      <c r="AD258" s="29"/>
      <c r="AE258" s="29"/>
      <c r="AF258" s="29"/>
      <c r="AG258" s="28"/>
      <c r="AH258" s="29"/>
      <c r="AI258" s="29"/>
      <c r="AJ258" s="29"/>
    </row>
    <row r="259">
      <c r="C259" s="23"/>
      <c r="L259" s="24"/>
      <c r="M259" s="25"/>
      <c r="N259" s="24"/>
      <c r="O259" s="26"/>
      <c r="P259" s="24"/>
      <c r="V259" s="23"/>
      <c r="W259" s="27"/>
      <c r="X259" s="27"/>
      <c r="Y259" s="28"/>
      <c r="Z259" s="27"/>
      <c r="AA259" s="27"/>
      <c r="AB259" s="27"/>
      <c r="AC259" s="28"/>
      <c r="AD259" s="29"/>
      <c r="AE259" s="29"/>
      <c r="AF259" s="29"/>
      <c r="AG259" s="28"/>
      <c r="AH259" s="29"/>
      <c r="AI259" s="29"/>
      <c r="AJ259" s="29"/>
    </row>
    <row r="260">
      <c r="C260" s="23"/>
      <c r="L260" s="24"/>
      <c r="M260" s="25"/>
      <c r="N260" s="24"/>
      <c r="O260" s="26"/>
      <c r="P260" s="24"/>
      <c r="V260" s="23"/>
      <c r="W260" s="27"/>
      <c r="X260" s="27"/>
      <c r="Y260" s="28"/>
      <c r="Z260" s="27"/>
      <c r="AA260" s="27"/>
      <c r="AB260" s="27"/>
      <c r="AC260" s="28"/>
      <c r="AD260" s="29"/>
      <c r="AE260" s="29"/>
      <c r="AF260" s="29"/>
      <c r="AG260" s="28"/>
      <c r="AH260" s="29"/>
      <c r="AI260" s="29"/>
      <c r="AJ260" s="29"/>
    </row>
    <row r="261">
      <c r="C261" s="23"/>
      <c r="L261" s="24"/>
      <c r="M261" s="25"/>
      <c r="N261" s="24"/>
      <c r="O261" s="26"/>
      <c r="P261" s="24"/>
      <c r="V261" s="23"/>
      <c r="W261" s="27"/>
      <c r="X261" s="27"/>
      <c r="Y261" s="28"/>
      <c r="Z261" s="27"/>
      <c r="AA261" s="27"/>
      <c r="AB261" s="27"/>
      <c r="AC261" s="28"/>
      <c r="AD261" s="29"/>
      <c r="AE261" s="29"/>
      <c r="AF261" s="29"/>
      <c r="AG261" s="28"/>
      <c r="AH261" s="29"/>
      <c r="AI261" s="29"/>
      <c r="AJ261" s="29"/>
    </row>
    <row r="262">
      <c r="C262" s="23"/>
      <c r="L262" s="24"/>
      <c r="M262" s="25"/>
      <c r="N262" s="24"/>
      <c r="O262" s="26"/>
      <c r="P262" s="24"/>
      <c r="V262" s="23"/>
      <c r="W262" s="27"/>
      <c r="X262" s="27"/>
      <c r="Y262" s="28"/>
      <c r="Z262" s="27"/>
      <c r="AA262" s="27"/>
      <c r="AB262" s="27"/>
      <c r="AC262" s="28"/>
      <c r="AD262" s="29"/>
      <c r="AE262" s="29"/>
      <c r="AF262" s="29"/>
      <c r="AG262" s="28"/>
      <c r="AH262" s="29"/>
      <c r="AI262" s="29"/>
      <c r="AJ262" s="29"/>
    </row>
    <row r="263">
      <c r="C263" s="23"/>
      <c r="L263" s="24"/>
      <c r="M263" s="25"/>
      <c r="N263" s="24"/>
      <c r="O263" s="26"/>
      <c r="P263" s="24"/>
      <c r="V263" s="23"/>
      <c r="W263" s="27"/>
      <c r="X263" s="27"/>
      <c r="Y263" s="28"/>
      <c r="Z263" s="27"/>
      <c r="AA263" s="27"/>
      <c r="AB263" s="27"/>
      <c r="AC263" s="28"/>
      <c r="AD263" s="29"/>
      <c r="AE263" s="29"/>
      <c r="AF263" s="29"/>
      <c r="AG263" s="28"/>
      <c r="AH263" s="29"/>
      <c r="AI263" s="29"/>
      <c r="AJ263" s="29"/>
    </row>
    <row r="264">
      <c r="C264" s="23"/>
      <c r="L264" s="24"/>
      <c r="M264" s="25"/>
      <c r="N264" s="24"/>
      <c r="O264" s="26"/>
      <c r="P264" s="24"/>
      <c r="V264" s="23"/>
      <c r="W264" s="27"/>
      <c r="X264" s="27"/>
      <c r="Y264" s="28"/>
      <c r="Z264" s="27"/>
      <c r="AA264" s="27"/>
      <c r="AB264" s="27"/>
      <c r="AC264" s="28"/>
      <c r="AD264" s="29"/>
      <c r="AE264" s="29"/>
      <c r="AF264" s="29"/>
      <c r="AG264" s="28"/>
      <c r="AH264" s="29"/>
      <c r="AI264" s="29"/>
      <c r="AJ264" s="29"/>
    </row>
    <row r="265">
      <c r="C265" s="23"/>
      <c r="L265" s="24"/>
      <c r="M265" s="25"/>
      <c r="N265" s="24"/>
      <c r="O265" s="26"/>
      <c r="P265" s="24"/>
      <c r="V265" s="23"/>
      <c r="W265" s="27"/>
      <c r="X265" s="27"/>
      <c r="Y265" s="28"/>
      <c r="Z265" s="27"/>
      <c r="AA265" s="27"/>
      <c r="AB265" s="27"/>
      <c r="AC265" s="28"/>
      <c r="AD265" s="29"/>
      <c r="AE265" s="29"/>
      <c r="AF265" s="29"/>
      <c r="AG265" s="28"/>
      <c r="AH265" s="29"/>
      <c r="AI265" s="29"/>
      <c r="AJ265" s="29"/>
    </row>
    <row r="266">
      <c r="C266" s="23"/>
      <c r="L266" s="24"/>
      <c r="M266" s="25"/>
      <c r="N266" s="24"/>
      <c r="O266" s="26"/>
      <c r="P266" s="24"/>
      <c r="V266" s="23"/>
      <c r="W266" s="27"/>
      <c r="X266" s="27"/>
      <c r="Y266" s="28"/>
      <c r="Z266" s="27"/>
      <c r="AA266" s="27"/>
      <c r="AB266" s="27"/>
      <c r="AC266" s="28"/>
      <c r="AD266" s="29"/>
      <c r="AE266" s="29"/>
      <c r="AF266" s="29"/>
      <c r="AG266" s="28"/>
      <c r="AH266" s="29"/>
      <c r="AI266" s="29"/>
      <c r="AJ266" s="29"/>
    </row>
    <row r="267">
      <c r="C267" s="23"/>
      <c r="L267" s="24"/>
      <c r="M267" s="25"/>
      <c r="N267" s="24"/>
      <c r="O267" s="26"/>
      <c r="P267" s="24"/>
      <c r="V267" s="23"/>
      <c r="W267" s="27"/>
      <c r="X267" s="27"/>
      <c r="Y267" s="28"/>
      <c r="Z267" s="27"/>
      <c r="AA267" s="27"/>
      <c r="AB267" s="27"/>
      <c r="AC267" s="28"/>
      <c r="AD267" s="29"/>
      <c r="AE267" s="29"/>
      <c r="AF267" s="29"/>
      <c r="AG267" s="28"/>
      <c r="AH267" s="29"/>
      <c r="AI267" s="29"/>
      <c r="AJ267" s="29"/>
    </row>
    <row r="268">
      <c r="C268" s="23"/>
      <c r="L268" s="24"/>
      <c r="M268" s="25"/>
      <c r="N268" s="24"/>
      <c r="O268" s="26"/>
      <c r="P268" s="24"/>
      <c r="V268" s="23"/>
      <c r="W268" s="27"/>
      <c r="X268" s="27"/>
      <c r="Y268" s="28"/>
      <c r="Z268" s="27"/>
      <c r="AA268" s="27"/>
      <c r="AB268" s="27"/>
      <c r="AC268" s="28"/>
      <c r="AD268" s="29"/>
      <c r="AE268" s="29"/>
      <c r="AF268" s="29"/>
      <c r="AG268" s="28"/>
      <c r="AH268" s="29"/>
      <c r="AI268" s="29"/>
      <c r="AJ268" s="29"/>
    </row>
    <row r="269">
      <c r="C269" s="23"/>
      <c r="L269" s="24"/>
      <c r="M269" s="25"/>
      <c r="N269" s="24"/>
      <c r="O269" s="26"/>
      <c r="P269" s="24"/>
      <c r="V269" s="23"/>
      <c r="W269" s="27"/>
      <c r="X269" s="27"/>
      <c r="Y269" s="28"/>
      <c r="Z269" s="27"/>
      <c r="AA269" s="27"/>
      <c r="AB269" s="27"/>
      <c r="AC269" s="28"/>
      <c r="AD269" s="29"/>
      <c r="AE269" s="29"/>
      <c r="AF269" s="29"/>
      <c r="AG269" s="28"/>
      <c r="AH269" s="29"/>
      <c r="AI269" s="29"/>
      <c r="AJ269" s="29"/>
    </row>
    <row r="270">
      <c r="C270" s="23"/>
      <c r="L270" s="24"/>
      <c r="M270" s="25"/>
      <c r="N270" s="24"/>
      <c r="O270" s="26"/>
      <c r="P270" s="24"/>
      <c r="V270" s="23"/>
      <c r="W270" s="27"/>
      <c r="X270" s="27"/>
      <c r="Y270" s="28"/>
      <c r="Z270" s="27"/>
      <c r="AA270" s="27"/>
      <c r="AB270" s="27"/>
      <c r="AC270" s="28"/>
      <c r="AD270" s="29"/>
      <c r="AE270" s="29"/>
      <c r="AF270" s="29"/>
      <c r="AG270" s="28"/>
      <c r="AH270" s="29"/>
      <c r="AI270" s="29"/>
      <c r="AJ270" s="29"/>
    </row>
    <row r="271">
      <c r="C271" s="23"/>
      <c r="L271" s="24"/>
      <c r="M271" s="25"/>
      <c r="N271" s="24"/>
      <c r="O271" s="26"/>
      <c r="P271" s="24"/>
      <c r="V271" s="23"/>
      <c r="W271" s="27"/>
      <c r="X271" s="27"/>
      <c r="Y271" s="28"/>
      <c r="Z271" s="27"/>
      <c r="AA271" s="27"/>
      <c r="AB271" s="27"/>
      <c r="AC271" s="28"/>
      <c r="AD271" s="29"/>
      <c r="AE271" s="29"/>
      <c r="AF271" s="29"/>
      <c r="AG271" s="28"/>
      <c r="AH271" s="29"/>
      <c r="AI271" s="29"/>
      <c r="AJ271" s="29"/>
    </row>
    <row r="272">
      <c r="C272" s="23"/>
      <c r="L272" s="24"/>
      <c r="M272" s="25"/>
      <c r="N272" s="24"/>
      <c r="O272" s="26"/>
      <c r="P272" s="24"/>
      <c r="V272" s="23"/>
      <c r="W272" s="27"/>
      <c r="X272" s="27"/>
      <c r="Y272" s="28"/>
      <c r="Z272" s="27"/>
      <c r="AA272" s="27"/>
      <c r="AB272" s="27"/>
      <c r="AC272" s="28"/>
      <c r="AD272" s="29"/>
      <c r="AE272" s="29"/>
      <c r="AF272" s="29"/>
      <c r="AG272" s="28"/>
      <c r="AH272" s="29"/>
      <c r="AI272" s="29"/>
      <c r="AJ272" s="29"/>
    </row>
    <row r="273">
      <c r="C273" s="23"/>
      <c r="L273" s="24"/>
      <c r="M273" s="25"/>
      <c r="N273" s="24"/>
      <c r="O273" s="26"/>
      <c r="P273" s="24"/>
      <c r="V273" s="23"/>
      <c r="W273" s="27"/>
      <c r="X273" s="27"/>
      <c r="Y273" s="28"/>
      <c r="Z273" s="27"/>
      <c r="AA273" s="27"/>
      <c r="AB273" s="27"/>
      <c r="AC273" s="28"/>
      <c r="AD273" s="29"/>
      <c r="AE273" s="29"/>
      <c r="AF273" s="29"/>
      <c r="AG273" s="28"/>
      <c r="AH273" s="29"/>
      <c r="AI273" s="29"/>
      <c r="AJ273" s="29"/>
    </row>
    <row r="274">
      <c r="C274" s="23"/>
      <c r="L274" s="24"/>
      <c r="M274" s="25"/>
      <c r="N274" s="24"/>
      <c r="O274" s="26"/>
      <c r="P274" s="24"/>
      <c r="V274" s="23"/>
      <c r="W274" s="27"/>
      <c r="X274" s="27"/>
      <c r="Y274" s="28"/>
      <c r="Z274" s="27"/>
      <c r="AA274" s="27"/>
      <c r="AB274" s="27"/>
      <c r="AC274" s="28"/>
      <c r="AD274" s="29"/>
      <c r="AE274" s="29"/>
      <c r="AF274" s="29"/>
      <c r="AG274" s="28"/>
      <c r="AH274" s="29"/>
      <c r="AI274" s="29"/>
      <c r="AJ274" s="29"/>
    </row>
    <row r="275">
      <c r="C275" s="23"/>
      <c r="L275" s="24"/>
      <c r="M275" s="25"/>
      <c r="N275" s="24"/>
      <c r="O275" s="26"/>
      <c r="P275" s="24"/>
      <c r="V275" s="23"/>
      <c r="W275" s="27"/>
      <c r="X275" s="27"/>
      <c r="Y275" s="28"/>
      <c r="Z275" s="27"/>
      <c r="AA275" s="27"/>
      <c r="AB275" s="27"/>
      <c r="AC275" s="28"/>
      <c r="AD275" s="29"/>
      <c r="AE275" s="29"/>
      <c r="AF275" s="29"/>
      <c r="AG275" s="28"/>
      <c r="AH275" s="29"/>
      <c r="AI275" s="29"/>
      <c r="AJ275" s="29"/>
    </row>
    <row r="276">
      <c r="C276" s="23"/>
      <c r="L276" s="24"/>
      <c r="M276" s="25"/>
      <c r="N276" s="24"/>
      <c r="O276" s="26"/>
      <c r="P276" s="24"/>
      <c r="V276" s="23"/>
      <c r="W276" s="27"/>
      <c r="X276" s="27"/>
      <c r="Y276" s="28"/>
      <c r="Z276" s="27"/>
      <c r="AA276" s="27"/>
      <c r="AB276" s="27"/>
      <c r="AC276" s="28"/>
      <c r="AD276" s="29"/>
      <c r="AE276" s="29"/>
      <c r="AF276" s="29"/>
      <c r="AG276" s="28"/>
      <c r="AH276" s="29"/>
      <c r="AI276" s="29"/>
      <c r="AJ276" s="29"/>
    </row>
    <row r="277">
      <c r="C277" s="23"/>
      <c r="L277" s="24"/>
      <c r="M277" s="25"/>
      <c r="N277" s="24"/>
      <c r="O277" s="26"/>
      <c r="P277" s="24"/>
      <c r="V277" s="23"/>
      <c r="W277" s="27"/>
      <c r="X277" s="27"/>
      <c r="Y277" s="28"/>
      <c r="Z277" s="27"/>
      <c r="AA277" s="27"/>
      <c r="AB277" s="27"/>
      <c r="AC277" s="28"/>
      <c r="AD277" s="29"/>
      <c r="AE277" s="29"/>
      <c r="AF277" s="29"/>
      <c r="AG277" s="28"/>
      <c r="AH277" s="29"/>
      <c r="AI277" s="29"/>
      <c r="AJ277" s="29"/>
    </row>
    <row r="278">
      <c r="C278" s="23"/>
      <c r="L278" s="24"/>
      <c r="M278" s="25"/>
      <c r="N278" s="24"/>
      <c r="O278" s="26"/>
      <c r="P278" s="24"/>
      <c r="V278" s="23"/>
      <c r="W278" s="27"/>
      <c r="X278" s="27"/>
      <c r="Y278" s="28"/>
      <c r="Z278" s="27"/>
      <c r="AA278" s="27"/>
      <c r="AB278" s="27"/>
      <c r="AC278" s="28"/>
      <c r="AD278" s="29"/>
      <c r="AE278" s="29"/>
      <c r="AF278" s="29"/>
      <c r="AG278" s="28"/>
      <c r="AH278" s="29"/>
      <c r="AI278" s="29"/>
      <c r="AJ278" s="29"/>
    </row>
    <row r="279">
      <c r="C279" s="23"/>
      <c r="L279" s="24"/>
      <c r="M279" s="25"/>
      <c r="N279" s="24"/>
      <c r="O279" s="26"/>
      <c r="P279" s="24"/>
      <c r="V279" s="23"/>
      <c r="W279" s="27"/>
      <c r="X279" s="27"/>
      <c r="Y279" s="28"/>
      <c r="Z279" s="27"/>
      <c r="AA279" s="27"/>
      <c r="AB279" s="27"/>
      <c r="AC279" s="28"/>
      <c r="AD279" s="29"/>
      <c r="AE279" s="29"/>
      <c r="AF279" s="29"/>
      <c r="AG279" s="28"/>
      <c r="AH279" s="29"/>
      <c r="AI279" s="29"/>
      <c r="AJ279" s="29"/>
    </row>
    <row r="280">
      <c r="C280" s="23"/>
      <c r="L280" s="24"/>
      <c r="M280" s="25"/>
      <c r="N280" s="24"/>
      <c r="O280" s="26"/>
      <c r="P280" s="24"/>
      <c r="V280" s="23"/>
      <c r="W280" s="27"/>
      <c r="X280" s="27"/>
      <c r="Y280" s="28"/>
      <c r="Z280" s="27"/>
      <c r="AA280" s="27"/>
      <c r="AB280" s="27"/>
      <c r="AC280" s="28"/>
      <c r="AD280" s="29"/>
      <c r="AE280" s="29"/>
      <c r="AF280" s="29"/>
      <c r="AG280" s="28"/>
      <c r="AH280" s="29"/>
      <c r="AI280" s="29"/>
      <c r="AJ280" s="29"/>
    </row>
    <row r="281">
      <c r="C281" s="23"/>
      <c r="L281" s="24"/>
      <c r="M281" s="25"/>
      <c r="N281" s="24"/>
      <c r="O281" s="26"/>
      <c r="P281" s="24"/>
      <c r="V281" s="23"/>
      <c r="W281" s="27"/>
      <c r="X281" s="27"/>
      <c r="Y281" s="28"/>
      <c r="Z281" s="27"/>
      <c r="AA281" s="27"/>
      <c r="AB281" s="27"/>
      <c r="AC281" s="28"/>
      <c r="AD281" s="29"/>
      <c r="AE281" s="29"/>
      <c r="AF281" s="29"/>
      <c r="AG281" s="28"/>
      <c r="AH281" s="29"/>
      <c r="AI281" s="29"/>
      <c r="AJ281" s="29"/>
    </row>
    <row r="282">
      <c r="C282" s="23"/>
      <c r="L282" s="24"/>
      <c r="M282" s="25"/>
      <c r="N282" s="24"/>
      <c r="O282" s="26"/>
      <c r="P282" s="24"/>
      <c r="V282" s="23"/>
      <c r="W282" s="27"/>
      <c r="X282" s="27"/>
      <c r="Y282" s="28"/>
      <c r="Z282" s="27"/>
      <c r="AA282" s="27"/>
      <c r="AB282" s="27"/>
      <c r="AC282" s="28"/>
      <c r="AD282" s="29"/>
      <c r="AE282" s="29"/>
      <c r="AF282" s="29"/>
      <c r="AG282" s="28"/>
      <c r="AH282" s="29"/>
      <c r="AI282" s="29"/>
      <c r="AJ282" s="29"/>
    </row>
    <row r="283">
      <c r="C283" s="23"/>
      <c r="L283" s="24"/>
      <c r="M283" s="25"/>
      <c r="N283" s="24"/>
      <c r="O283" s="26"/>
      <c r="P283" s="24"/>
      <c r="V283" s="23"/>
      <c r="W283" s="27"/>
      <c r="X283" s="27"/>
      <c r="Y283" s="28"/>
      <c r="Z283" s="27"/>
      <c r="AA283" s="27"/>
      <c r="AB283" s="27"/>
      <c r="AC283" s="28"/>
      <c r="AD283" s="29"/>
      <c r="AE283" s="29"/>
      <c r="AF283" s="29"/>
      <c r="AG283" s="28"/>
      <c r="AH283" s="29"/>
      <c r="AI283" s="29"/>
      <c r="AJ283" s="29"/>
    </row>
    <row r="284">
      <c r="C284" s="23"/>
      <c r="L284" s="24"/>
      <c r="M284" s="25"/>
      <c r="N284" s="24"/>
      <c r="O284" s="26"/>
      <c r="P284" s="24"/>
      <c r="V284" s="23"/>
      <c r="W284" s="27"/>
      <c r="X284" s="27"/>
      <c r="Y284" s="28"/>
      <c r="Z284" s="27"/>
      <c r="AA284" s="27"/>
      <c r="AB284" s="27"/>
      <c r="AC284" s="28"/>
      <c r="AD284" s="29"/>
      <c r="AE284" s="29"/>
      <c r="AF284" s="29"/>
      <c r="AG284" s="28"/>
      <c r="AH284" s="29"/>
      <c r="AI284" s="29"/>
      <c r="AJ284" s="29"/>
    </row>
    <row r="285">
      <c r="C285" s="23"/>
      <c r="L285" s="24"/>
      <c r="M285" s="25"/>
      <c r="N285" s="24"/>
      <c r="O285" s="26"/>
      <c r="P285" s="24"/>
      <c r="V285" s="23"/>
      <c r="W285" s="27"/>
      <c r="X285" s="27"/>
      <c r="Y285" s="28"/>
      <c r="Z285" s="27"/>
      <c r="AA285" s="27"/>
      <c r="AB285" s="27"/>
      <c r="AC285" s="28"/>
      <c r="AD285" s="29"/>
      <c r="AE285" s="29"/>
      <c r="AF285" s="29"/>
      <c r="AG285" s="28"/>
      <c r="AH285" s="29"/>
      <c r="AI285" s="29"/>
      <c r="AJ285" s="29"/>
    </row>
    <row r="286">
      <c r="C286" s="23"/>
      <c r="L286" s="24"/>
      <c r="M286" s="25"/>
      <c r="N286" s="24"/>
      <c r="O286" s="26"/>
      <c r="P286" s="24"/>
      <c r="V286" s="23"/>
      <c r="W286" s="27"/>
      <c r="X286" s="27"/>
      <c r="Y286" s="28"/>
      <c r="Z286" s="27"/>
      <c r="AA286" s="27"/>
      <c r="AB286" s="27"/>
      <c r="AC286" s="28"/>
      <c r="AD286" s="29"/>
      <c r="AE286" s="29"/>
      <c r="AF286" s="29"/>
      <c r="AG286" s="28"/>
      <c r="AH286" s="29"/>
      <c r="AI286" s="29"/>
      <c r="AJ286" s="29"/>
    </row>
    <row r="287">
      <c r="C287" s="23"/>
      <c r="L287" s="24"/>
      <c r="M287" s="25"/>
      <c r="N287" s="24"/>
      <c r="O287" s="26"/>
      <c r="P287" s="24"/>
      <c r="V287" s="23"/>
      <c r="W287" s="27"/>
      <c r="X287" s="27"/>
      <c r="Y287" s="28"/>
      <c r="Z287" s="27"/>
      <c r="AA287" s="27"/>
      <c r="AB287" s="27"/>
      <c r="AC287" s="28"/>
      <c r="AD287" s="29"/>
      <c r="AE287" s="29"/>
      <c r="AF287" s="29"/>
      <c r="AG287" s="28"/>
      <c r="AH287" s="29"/>
      <c r="AI287" s="29"/>
      <c r="AJ287" s="29"/>
    </row>
    <row r="288">
      <c r="C288" s="23"/>
      <c r="L288" s="24"/>
      <c r="M288" s="25"/>
      <c r="N288" s="24"/>
      <c r="O288" s="26"/>
      <c r="P288" s="24"/>
      <c r="V288" s="23"/>
      <c r="W288" s="27"/>
      <c r="X288" s="27"/>
      <c r="Y288" s="28"/>
      <c r="Z288" s="27"/>
      <c r="AA288" s="27"/>
      <c r="AB288" s="27"/>
      <c r="AC288" s="28"/>
      <c r="AD288" s="29"/>
      <c r="AE288" s="29"/>
      <c r="AF288" s="29"/>
      <c r="AG288" s="28"/>
      <c r="AH288" s="29"/>
      <c r="AI288" s="29"/>
      <c r="AJ288" s="29"/>
    </row>
    <row r="289">
      <c r="C289" s="23"/>
      <c r="L289" s="24"/>
      <c r="M289" s="25"/>
      <c r="N289" s="24"/>
      <c r="O289" s="26"/>
      <c r="P289" s="24"/>
      <c r="V289" s="23"/>
      <c r="W289" s="27"/>
      <c r="X289" s="27"/>
      <c r="Y289" s="28"/>
      <c r="Z289" s="27"/>
      <c r="AA289" s="27"/>
      <c r="AB289" s="27"/>
      <c r="AC289" s="28"/>
      <c r="AD289" s="29"/>
      <c r="AE289" s="29"/>
      <c r="AF289" s="29"/>
      <c r="AG289" s="28"/>
      <c r="AH289" s="29"/>
      <c r="AI289" s="29"/>
      <c r="AJ289" s="29"/>
    </row>
    <row r="290">
      <c r="C290" s="23"/>
      <c r="L290" s="24"/>
      <c r="M290" s="25"/>
      <c r="N290" s="24"/>
      <c r="O290" s="26"/>
      <c r="P290" s="24"/>
      <c r="V290" s="23"/>
      <c r="W290" s="27"/>
      <c r="X290" s="27"/>
      <c r="Y290" s="28"/>
      <c r="Z290" s="27"/>
      <c r="AA290" s="27"/>
      <c r="AB290" s="27"/>
      <c r="AC290" s="28"/>
      <c r="AD290" s="29"/>
      <c r="AE290" s="29"/>
      <c r="AF290" s="29"/>
      <c r="AG290" s="28"/>
      <c r="AH290" s="29"/>
      <c r="AI290" s="29"/>
      <c r="AJ290" s="29"/>
    </row>
    <row r="291">
      <c r="C291" s="23"/>
      <c r="L291" s="24"/>
      <c r="M291" s="25"/>
      <c r="N291" s="24"/>
      <c r="O291" s="26"/>
      <c r="P291" s="24"/>
      <c r="V291" s="23"/>
      <c r="W291" s="27"/>
      <c r="X291" s="27"/>
      <c r="Y291" s="28"/>
      <c r="Z291" s="27"/>
      <c r="AA291" s="27"/>
      <c r="AB291" s="27"/>
      <c r="AC291" s="28"/>
      <c r="AD291" s="29"/>
      <c r="AE291" s="29"/>
      <c r="AF291" s="29"/>
      <c r="AG291" s="28"/>
      <c r="AH291" s="29"/>
      <c r="AI291" s="29"/>
      <c r="AJ291" s="29"/>
    </row>
    <row r="292">
      <c r="C292" s="23"/>
      <c r="L292" s="24"/>
      <c r="M292" s="25"/>
      <c r="N292" s="24"/>
      <c r="O292" s="26"/>
      <c r="P292" s="24"/>
      <c r="V292" s="23"/>
      <c r="W292" s="27"/>
      <c r="X292" s="27"/>
      <c r="Y292" s="28"/>
      <c r="Z292" s="27"/>
      <c r="AA292" s="27"/>
      <c r="AB292" s="27"/>
      <c r="AC292" s="28"/>
      <c r="AD292" s="29"/>
      <c r="AE292" s="29"/>
      <c r="AF292" s="29"/>
      <c r="AG292" s="28"/>
      <c r="AH292" s="29"/>
      <c r="AI292" s="29"/>
      <c r="AJ292" s="29"/>
    </row>
    <row r="293">
      <c r="C293" s="23"/>
      <c r="L293" s="24"/>
      <c r="M293" s="25"/>
      <c r="N293" s="24"/>
      <c r="O293" s="26"/>
      <c r="P293" s="24"/>
      <c r="V293" s="23"/>
      <c r="W293" s="27"/>
      <c r="X293" s="27"/>
      <c r="Y293" s="28"/>
      <c r="Z293" s="27"/>
      <c r="AA293" s="27"/>
      <c r="AB293" s="27"/>
      <c r="AC293" s="28"/>
      <c r="AD293" s="29"/>
      <c r="AE293" s="29"/>
      <c r="AF293" s="29"/>
      <c r="AG293" s="28"/>
      <c r="AH293" s="29"/>
      <c r="AI293" s="29"/>
      <c r="AJ293" s="29"/>
    </row>
    <row r="294">
      <c r="C294" s="23"/>
      <c r="L294" s="24"/>
      <c r="M294" s="25"/>
      <c r="N294" s="24"/>
      <c r="O294" s="26"/>
      <c r="P294" s="24"/>
      <c r="V294" s="23"/>
      <c r="W294" s="27"/>
      <c r="X294" s="27"/>
      <c r="Y294" s="28"/>
      <c r="Z294" s="27"/>
      <c r="AA294" s="27"/>
      <c r="AB294" s="27"/>
      <c r="AC294" s="28"/>
      <c r="AD294" s="29"/>
      <c r="AE294" s="29"/>
      <c r="AF294" s="29"/>
      <c r="AG294" s="28"/>
      <c r="AH294" s="29"/>
      <c r="AI294" s="29"/>
      <c r="AJ294" s="29"/>
    </row>
    <row r="295">
      <c r="C295" s="23"/>
      <c r="L295" s="24"/>
      <c r="M295" s="25"/>
      <c r="N295" s="24"/>
      <c r="O295" s="26"/>
      <c r="P295" s="24"/>
      <c r="V295" s="23"/>
      <c r="W295" s="27"/>
      <c r="X295" s="27"/>
      <c r="Y295" s="28"/>
      <c r="Z295" s="27"/>
      <c r="AA295" s="27"/>
      <c r="AB295" s="27"/>
      <c r="AC295" s="28"/>
      <c r="AD295" s="29"/>
      <c r="AE295" s="29"/>
      <c r="AF295" s="29"/>
      <c r="AG295" s="28"/>
      <c r="AH295" s="29"/>
      <c r="AI295" s="29"/>
      <c r="AJ295" s="29"/>
    </row>
    <row r="296">
      <c r="C296" s="23"/>
      <c r="L296" s="24"/>
      <c r="M296" s="25"/>
      <c r="N296" s="24"/>
      <c r="O296" s="26"/>
      <c r="P296" s="24"/>
      <c r="V296" s="23"/>
      <c r="W296" s="27"/>
      <c r="X296" s="27"/>
      <c r="Y296" s="28"/>
      <c r="Z296" s="27"/>
      <c r="AA296" s="27"/>
      <c r="AB296" s="27"/>
      <c r="AC296" s="28"/>
      <c r="AD296" s="29"/>
      <c r="AE296" s="29"/>
      <c r="AF296" s="29"/>
      <c r="AG296" s="28"/>
      <c r="AH296" s="29"/>
      <c r="AI296" s="29"/>
      <c r="AJ296" s="29"/>
    </row>
    <row r="297">
      <c r="C297" s="23"/>
      <c r="L297" s="24"/>
      <c r="M297" s="25"/>
      <c r="N297" s="24"/>
      <c r="O297" s="26"/>
      <c r="P297" s="24"/>
      <c r="V297" s="23"/>
      <c r="W297" s="27"/>
      <c r="X297" s="27"/>
      <c r="Y297" s="28"/>
      <c r="Z297" s="27"/>
      <c r="AA297" s="27"/>
      <c r="AB297" s="27"/>
      <c r="AC297" s="28"/>
      <c r="AD297" s="29"/>
      <c r="AE297" s="29"/>
      <c r="AF297" s="29"/>
      <c r="AG297" s="28"/>
      <c r="AH297" s="29"/>
      <c r="AI297" s="29"/>
      <c r="AJ297" s="29"/>
    </row>
    <row r="298">
      <c r="C298" s="23"/>
      <c r="L298" s="24"/>
      <c r="M298" s="25"/>
      <c r="N298" s="24"/>
      <c r="O298" s="26"/>
      <c r="P298" s="24"/>
      <c r="V298" s="23"/>
      <c r="W298" s="27"/>
      <c r="X298" s="27"/>
      <c r="Y298" s="28"/>
      <c r="Z298" s="27"/>
      <c r="AA298" s="27"/>
      <c r="AB298" s="27"/>
      <c r="AC298" s="28"/>
      <c r="AD298" s="29"/>
      <c r="AE298" s="29"/>
      <c r="AF298" s="29"/>
      <c r="AG298" s="28"/>
      <c r="AH298" s="29"/>
      <c r="AI298" s="29"/>
      <c r="AJ298" s="29"/>
    </row>
    <row r="299">
      <c r="C299" s="23"/>
      <c r="L299" s="24"/>
      <c r="M299" s="25"/>
      <c r="N299" s="24"/>
      <c r="O299" s="26"/>
      <c r="P299" s="24"/>
      <c r="V299" s="23"/>
      <c r="W299" s="27"/>
      <c r="X299" s="27"/>
      <c r="Y299" s="28"/>
      <c r="Z299" s="27"/>
      <c r="AA299" s="27"/>
      <c r="AB299" s="27"/>
      <c r="AC299" s="28"/>
      <c r="AD299" s="29"/>
      <c r="AE299" s="29"/>
      <c r="AF299" s="29"/>
      <c r="AG299" s="28"/>
      <c r="AH299" s="29"/>
      <c r="AI299" s="29"/>
      <c r="AJ299" s="29"/>
    </row>
    <row r="300">
      <c r="C300" s="23"/>
      <c r="L300" s="24"/>
      <c r="M300" s="25"/>
      <c r="N300" s="24"/>
      <c r="O300" s="26"/>
      <c r="P300" s="24"/>
      <c r="V300" s="23"/>
      <c r="W300" s="27"/>
      <c r="X300" s="27"/>
      <c r="Y300" s="28"/>
      <c r="Z300" s="27"/>
      <c r="AA300" s="27"/>
      <c r="AB300" s="27"/>
      <c r="AC300" s="28"/>
      <c r="AD300" s="29"/>
      <c r="AE300" s="29"/>
      <c r="AF300" s="29"/>
      <c r="AG300" s="28"/>
      <c r="AH300" s="29"/>
      <c r="AI300" s="29"/>
      <c r="AJ300" s="29"/>
    </row>
    <row r="301">
      <c r="C301" s="23"/>
      <c r="L301" s="24"/>
      <c r="M301" s="25"/>
      <c r="N301" s="24"/>
      <c r="O301" s="26"/>
      <c r="P301" s="24"/>
      <c r="V301" s="23"/>
      <c r="W301" s="27"/>
      <c r="X301" s="27"/>
      <c r="Y301" s="28"/>
      <c r="Z301" s="27"/>
      <c r="AA301" s="27"/>
      <c r="AB301" s="27"/>
      <c r="AC301" s="28"/>
      <c r="AD301" s="29"/>
      <c r="AE301" s="29"/>
      <c r="AF301" s="29"/>
      <c r="AG301" s="28"/>
      <c r="AH301" s="29"/>
      <c r="AI301" s="29"/>
      <c r="AJ301" s="29"/>
    </row>
    <row r="302">
      <c r="C302" s="23"/>
      <c r="L302" s="24"/>
      <c r="M302" s="25"/>
      <c r="N302" s="24"/>
      <c r="O302" s="26"/>
      <c r="P302" s="24"/>
      <c r="V302" s="23"/>
      <c r="W302" s="27"/>
      <c r="X302" s="27"/>
      <c r="Y302" s="28"/>
      <c r="Z302" s="27"/>
      <c r="AA302" s="27"/>
      <c r="AB302" s="27"/>
      <c r="AC302" s="28"/>
      <c r="AD302" s="29"/>
      <c r="AE302" s="29"/>
      <c r="AF302" s="29"/>
      <c r="AG302" s="28"/>
      <c r="AH302" s="29"/>
      <c r="AI302" s="29"/>
      <c r="AJ302" s="29"/>
    </row>
    <row r="303">
      <c r="C303" s="23"/>
      <c r="L303" s="24"/>
      <c r="M303" s="25"/>
      <c r="N303" s="24"/>
      <c r="O303" s="26"/>
      <c r="P303" s="24"/>
      <c r="V303" s="23"/>
      <c r="W303" s="27"/>
      <c r="X303" s="27"/>
      <c r="Y303" s="28"/>
      <c r="Z303" s="27"/>
      <c r="AA303" s="27"/>
      <c r="AB303" s="27"/>
      <c r="AC303" s="28"/>
      <c r="AD303" s="29"/>
      <c r="AE303" s="29"/>
      <c r="AF303" s="29"/>
      <c r="AG303" s="28"/>
      <c r="AH303" s="29"/>
      <c r="AI303" s="29"/>
      <c r="AJ303" s="29"/>
    </row>
    <row r="304">
      <c r="C304" s="23"/>
      <c r="L304" s="24"/>
      <c r="M304" s="25"/>
      <c r="N304" s="24"/>
      <c r="O304" s="26"/>
      <c r="P304" s="24"/>
      <c r="V304" s="23"/>
      <c r="W304" s="27"/>
      <c r="X304" s="27"/>
      <c r="Y304" s="28"/>
      <c r="Z304" s="27"/>
      <c r="AA304" s="27"/>
      <c r="AB304" s="27"/>
      <c r="AC304" s="28"/>
      <c r="AD304" s="29"/>
      <c r="AE304" s="29"/>
      <c r="AF304" s="29"/>
      <c r="AG304" s="28"/>
      <c r="AH304" s="29"/>
      <c r="AI304" s="29"/>
      <c r="AJ304" s="29"/>
    </row>
    <row r="305">
      <c r="C305" s="23"/>
      <c r="L305" s="24"/>
      <c r="M305" s="25"/>
      <c r="N305" s="24"/>
      <c r="O305" s="26"/>
      <c r="P305" s="24"/>
      <c r="V305" s="23"/>
      <c r="W305" s="27"/>
      <c r="X305" s="27"/>
      <c r="Y305" s="28"/>
      <c r="Z305" s="27"/>
      <c r="AA305" s="27"/>
      <c r="AB305" s="27"/>
      <c r="AC305" s="28"/>
      <c r="AD305" s="29"/>
      <c r="AE305" s="29"/>
      <c r="AF305" s="29"/>
      <c r="AG305" s="28"/>
      <c r="AH305" s="29"/>
      <c r="AI305" s="29"/>
      <c r="AJ305" s="29"/>
    </row>
    <row r="306">
      <c r="C306" s="23"/>
      <c r="L306" s="24"/>
      <c r="M306" s="25"/>
      <c r="N306" s="24"/>
      <c r="O306" s="26"/>
      <c r="P306" s="24"/>
      <c r="V306" s="23"/>
      <c r="W306" s="27"/>
      <c r="X306" s="27"/>
      <c r="Y306" s="28"/>
      <c r="Z306" s="27"/>
      <c r="AA306" s="27"/>
      <c r="AB306" s="27"/>
      <c r="AC306" s="28"/>
      <c r="AD306" s="29"/>
      <c r="AE306" s="29"/>
      <c r="AF306" s="29"/>
      <c r="AG306" s="28"/>
      <c r="AH306" s="29"/>
      <c r="AI306" s="29"/>
      <c r="AJ306" s="29"/>
    </row>
    <row r="307">
      <c r="C307" s="23"/>
      <c r="L307" s="24"/>
      <c r="M307" s="25"/>
      <c r="N307" s="24"/>
      <c r="O307" s="26"/>
      <c r="P307" s="24"/>
      <c r="V307" s="23"/>
      <c r="W307" s="27"/>
      <c r="X307" s="27"/>
      <c r="Y307" s="28"/>
      <c r="Z307" s="27"/>
      <c r="AA307" s="27"/>
      <c r="AB307" s="27"/>
      <c r="AC307" s="28"/>
      <c r="AD307" s="29"/>
      <c r="AE307" s="29"/>
      <c r="AF307" s="29"/>
      <c r="AG307" s="28"/>
      <c r="AH307" s="29"/>
      <c r="AI307" s="29"/>
      <c r="AJ307" s="29"/>
    </row>
    <row r="308">
      <c r="C308" s="23"/>
      <c r="L308" s="24"/>
      <c r="M308" s="25"/>
      <c r="N308" s="24"/>
      <c r="O308" s="26"/>
      <c r="P308" s="24"/>
      <c r="V308" s="23"/>
      <c r="W308" s="27"/>
      <c r="X308" s="27"/>
      <c r="Y308" s="28"/>
      <c r="Z308" s="27"/>
      <c r="AA308" s="27"/>
      <c r="AB308" s="27"/>
      <c r="AC308" s="28"/>
      <c r="AD308" s="29"/>
      <c r="AE308" s="29"/>
      <c r="AF308" s="29"/>
      <c r="AG308" s="28"/>
      <c r="AH308" s="29"/>
      <c r="AI308" s="29"/>
      <c r="AJ308" s="29"/>
    </row>
    <row r="309">
      <c r="C309" s="23"/>
      <c r="L309" s="24"/>
      <c r="M309" s="25"/>
      <c r="N309" s="24"/>
      <c r="O309" s="26"/>
      <c r="P309" s="24"/>
      <c r="V309" s="23"/>
      <c r="W309" s="27"/>
      <c r="X309" s="27"/>
      <c r="Y309" s="28"/>
      <c r="Z309" s="27"/>
      <c r="AA309" s="27"/>
      <c r="AB309" s="27"/>
      <c r="AC309" s="28"/>
      <c r="AD309" s="29"/>
      <c r="AE309" s="29"/>
      <c r="AF309" s="29"/>
      <c r="AG309" s="28"/>
      <c r="AH309" s="29"/>
      <c r="AI309" s="29"/>
      <c r="AJ309" s="29"/>
    </row>
    <row r="310">
      <c r="C310" s="23"/>
      <c r="L310" s="24"/>
      <c r="M310" s="25"/>
      <c r="N310" s="24"/>
      <c r="O310" s="26"/>
      <c r="P310" s="24"/>
      <c r="V310" s="23"/>
      <c r="W310" s="27"/>
      <c r="X310" s="27"/>
      <c r="Y310" s="28"/>
      <c r="Z310" s="27"/>
      <c r="AA310" s="27"/>
      <c r="AB310" s="27"/>
      <c r="AC310" s="28"/>
      <c r="AD310" s="29"/>
      <c r="AE310" s="29"/>
      <c r="AF310" s="29"/>
      <c r="AG310" s="28"/>
      <c r="AH310" s="29"/>
      <c r="AI310" s="29"/>
      <c r="AJ310" s="29"/>
    </row>
    <row r="311">
      <c r="C311" s="23"/>
      <c r="L311" s="24"/>
      <c r="M311" s="25"/>
      <c r="N311" s="24"/>
      <c r="O311" s="26"/>
      <c r="P311" s="24"/>
      <c r="V311" s="23"/>
      <c r="W311" s="27"/>
      <c r="X311" s="27"/>
      <c r="Y311" s="28"/>
      <c r="Z311" s="27"/>
      <c r="AA311" s="27"/>
      <c r="AB311" s="27"/>
      <c r="AC311" s="28"/>
      <c r="AD311" s="29"/>
      <c r="AE311" s="29"/>
      <c r="AF311" s="29"/>
      <c r="AG311" s="28"/>
      <c r="AH311" s="29"/>
      <c r="AI311" s="29"/>
      <c r="AJ311" s="29"/>
    </row>
    <row r="312">
      <c r="C312" s="23"/>
      <c r="L312" s="24"/>
      <c r="M312" s="25"/>
      <c r="N312" s="24"/>
      <c r="O312" s="26"/>
      <c r="P312" s="24"/>
      <c r="V312" s="23"/>
      <c r="W312" s="27"/>
      <c r="X312" s="27"/>
      <c r="Y312" s="28"/>
      <c r="Z312" s="27"/>
      <c r="AA312" s="27"/>
      <c r="AB312" s="27"/>
      <c r="AC312" s="28"/>
      <c r="AD312" s="29"/>
      <c r="AE312" s="29"/>
      <c r="AF312" s="29"/>
      <c r="AG312" s="28"/>
      <c r="AH312" s="29"/>
      <c r="AI312" s="29"/>
      <c r="AJ312" s="29"/>
    </row>
    <row r="313">
      <c r="C313" s="23"/>
      <c r="L313" s="24"/>
      <c r="M313" s="25"/>
      <c r="N313" s="24"/>
      <c r="O313" s="26"/>
      <c r="P313" s="24"/>
      <c r="V313" s="23"/>
      <c r="W313" s="27"/>
      <c r="X313" s="27"/>
      <c r="Y313" s="28"/>
      <c r="Z313" s="27"/>
      <c r="AA313" s="27"/>
      <c r="AB313" s="27"/>
      <c r="AC313" s="28"/>
      <c r="AD313" s="29"/>
      <c r="AE313" s="29"/>
      <c r="AF313" s="29"/>
      <c r="AG313" s="28"/>
      <c r="AH313" s="29"/>
      <c r="AI313" s="29"/>
      <c r="AJ313" s="29"/>
    </row>
    <row r="314">
      <c r="C314" s="23"/>
      <c r="L314" s="24"/>
      <c r="M314" s="25"/>
      <c r="N314" s="24"/>
      <c r="O314" s="26"/>
      <c r="P314" s="24"/>
      <c r="V314" s="23"/>
      <c r="W314" s="27"/>
      <c r="X314" s="27"/>
      <c r="Y314" s="28"/>
      <c r="Z314" s="27"/>
      <c r="AA314" s="27"/>
      <c r="AB314" s="27"/>
      <c r="AC314" s="28"/>
      <c r="AD314" s="29"/>
      <c r="AE314" s="29"/>
      <c r="AF314" s="29"/>
      <c r="AG314" s="28"/>
      <c r="AH314" s="29"/>
      <c r="AI314" s="29"/>
      <c r="AJ314" s="29"/>
    </row>
    <row r="315">
      <c r="C315" s="23"/>
      <c r="L315" s="24"/>
      <c r="M315" s="25"/>
      <c r="N315" s="24"/>
      <c r="O315" s="26"/>
      <c r="P315" s="24"/>
      <c r="V315" s="23"/>
      <c r="W315" s="27"/>
      <c r="X315" s="27"/>
      <c r="Y315" s="28"/>
      <c r="Z315" s="27"/>
      <c r="AA315" s="27"/>
      <c r="AB315" s="27"/>
      <c r="AC315" s="28"/>
      <c r="AD315" s="29"/>
      <c r="AE315" s="29"/>
      <c r="AF315" s="29"/>
      <c r="AG315" s="28"/>
      <c r="AH315" s="29"/>
      <c r="AI315" s="29"/>
      <c r="AJ315" s="29"/>
    </row>
    <row r="316">
      <c r="C316" s="23"/>
      <c r="L316" s="24"/>
      <c r="M316" s="25"/>
      <c r="N316" s="24"/>
      <c r="O316" s="26"/>
      <c r="P316" s="24"/>
      <c r="V316" s="23"/>
      <c r="W316" s="27"/>
      <c r="X316" s="27"/>
      <c r="Y316" s="28"/>
      <c r="Z316" s="27"/>
      <c r="AA316" s="27"/>
      <c r="AB316" s="27"/>
      <c r="AC316" s="28"/>
      <c r="AD316" s="29"/>
      <c r="AE316" s="29"/>
      <c r="AF316" s="29"/>
      <c r="AG316" s="28"/>
      <c r="AH316" s="29"/>
      <c r="AI316" s="29"/>
      <c r="AJ316" s="29"/>
    </row>
    <row r="317">
      <c r="C317" s="23"/>
      <c r="L317" s="24"/>
      <c r="M317" s="25"/>
      <c r="N317" s="24"/>
      <c r="O317" s="26"/>
      <c r="P317" s="24"/>
      <c r="V317" s="23"/>
      <c r="W317" s="27"/>
      <c r="X317" s="27"/>
      <c r="Y317" s="28"/>
      <c r="Z317" s="27"/>
      <c r="AA317" s="27"/>
      <c r="AB317" s="27"/>
      <c r="AC317" s="28"/>
      <c r="AD317" s="29"/>
      <c r="AE317" s="29"/>
      <c r="AF317" s="29"/>
      <c r="AG317" s="28"/>
      <c r="AH317" s="29"/>
      <c r="AI317" s="29"/>
      <c r="AJ317" s="29"/>
    </row>
    <row r="318">
      <c r="C318" s="23"/>
      <c r="L318" s="24"/>
      <c r="M318" s="25"/>
      <c r="N318" s="24"/>
      <c r="O318" s="26"/>
      <c r="P318" s="24"/>
      <c r="V318" s="23"/>
      <c r="W318" s="27"/>
      <c r="X318" s="27"/>
      <c r="Y318" s="28"/>
      <c r="Z318" s="27"/>
      <c r="AA318" s="27"/>
      <c r="AB318" s="27"/>
      <c r="AC318" s="28"/>
      <c r="AD318" s="29"/>
      <c r="AE318" s="29"/>
      <c r="AF318" s="29"/>
      <c r="AG318" s="28"/>
      <c r="AH318" s="29"/>
      <c r="AI318" s="29"/>
      <c r="AJ318" s="29"/>
    </row>
    <row r="319">
      <c r="C319" s="23"/>
      <c r="L319" s="24"/>
      <c r="M319" s="25"/>
      <c r="N319" s="24"/>
      <c r="O319" s="26"/>
      <c r="P319" s="24"/>
      <c r="V319" s="23"/>
      <c r="W319" s="27"/>
      <c r="X319" s="27"/>
      <c r="Y319" s="28"/>
      <c r="Z319" s="27"/>
      <c r="AA319" s="27"/>
      <c r="AB319" s="27"/>
      <c r="AC319" s="28"/>
      <c r="AD319" s="29"/>
      <c r="AE319" s="29"/>
      <c r="AF319" s="29"/>
      <c r="AG319" s="28"/>
      <c r="AH319" s="29"/>
      <c r="AI319" s="29"/>
      <c r="AJ319" s="29"/>
    </row>
    <row r="320">
      <c r="C320" s="23"/>
      <c r="L320" s="24"/>
      <c r="M320" s="25"/>
      <c r="N320" s="24"/>
      <c r="O320" s="26"/>
      <c r="P320" s="24"/>
      <c r="V320" s="23"/>
      <c r="W320" s="27"/>
      <c r="X320" s="27"/>
      <c r="Y320" s="28"/>
      <c r="Z320" s="27"/>
      <c r="AA320" s="27"/>
      <c r="AB320" s="27"/>
      <c r="AC320" s="28"/>
      <c r="AD320" s="29"/>
      <c r="AE320" s="29"/>
      <c r="AF320" s="29"/>
      <c r="AG320" s="28"/>
      <c r="AH320" s="29"/>
      <c r="AI320" s="29"/>
      <c r="AJ320" s="29"/>
    </row>
    <row r="321">
      <c r="C321" s="23"/>
      <c r="L321" s="24"/>
      <c r="M321" s="25"/>
      <c r="N321" s="24"/>
      <c r="O321" s="26"/>
      <c r="P321" s="24"/>
      <c r="V321" s="23"/>
      <c r="W321" s="27"/>
      <c r="X321" s="27"/>
      <c r="Y321" s="28"/>
      <c r="Z321" s="27"/>
      <c r="AA321" s="27"/>
      <c r="AB321" s="27"/>
      <c r="AC321" s="28"/>
      <c r="AD321" s="29"/>
      <c r="AE321" s="29"/>
      <c r="AF321" s="29"/>
      <c r="AG321" s="28"/>
      <c r="AH321" s="29"/>
      <c r="AI321" s="29"/>
      <c r="AJ321" s="29"/>
    </row>
    <row r="322">
      <c r="C322" s="23"/>
      <c r="L322" s="24"/>
      <c r="M322" s="25"/>
      <c r="N322" s="24"/>
      <c r="O322" s="26"/>
      <c r="P322" s="24"/>
      <c r="V322" s="23"/>
      <c r="W322" s="27"/>
      <c r="X322" s="27"/>
      <c r="Y322" s="28"/>
      <c r="Z322" s="27"/>
      <c r="AA322" s="27"/>
      <c r="AB322" s="27"/>
      <c r="AC322" s="28"/>
      <c r="AD322" s="29"/>
      <c r="AE322" s="29"/>
      <c r="AF322" s="29"/>
      <c r="AG322" s="28"/>
      <c r="AH322" s="29"/>
      <c r="AI322" s="29"/>
      <c r="AJ322" s="29"/>
    </row>
    <row r="323">
      <c r="C323" s="23"/>
      <c r="L323" s="24"/>
      <c r="M323" s="25"/>
      <c r="N323" s="24"/>
      <c r="O323" s="26"/>
      <c r="P323" s="24"/>
      <c r="V323" s="23"/>
      <c r="W323" s="27"/>
      <c r="X323" s="27"/>
      <c r="Y323" s="28"/>
      <c r="Z323" s="27"/>
      <c r="AA323" s="27"/>
      <c r="AB323" s="27"/>
      <c r="AC323" s="28"/>
      <c r="AD323" s="29"/>
      <c r="AE323" s="29"/>
      <c r="AF323" s="29"/>
      <c r="AG323" s="28"/>
      <c r="AH323" s="29"/>
      <c r="AI323" s="29"/>
      <c r="AJ323" s="29"/>
    </row>
    <row r="324">
      <c r="C324" s="23"/>
      <c r="L324" s="24"/>
      <c r="M324" s="25"/>
      <c r="N324" s="24"/>
      <c r="O324" s="26"/>
      <c r="P324" s="24"/>
      <c r="V324" s="23"/>
      <c r="W324" s="27"/>
      <c r="X324" s="27"/>
      <c r="Y324" s="28"/>
      <c r="Z324" s="27"/>
      <c r="AA324" s="27"/>
      <c r="AB324" s="27"/>
      <c r="AC324" s="28"/>
      <c r="AD324" s="29"/>
      <c r="AE324" s="29"/>
      <c r="AF324" s="29"/>
      <c r="AG324" s="28"/>
      <c r="AH324" s="29"/>
      <c r="AI324" s="29"/>
      <c r="AJ324" s="29"/>
    </row>
    <row r="325">
      <c r="C325" s="23"/>
      <c r="L325" s="24"/>
      <c r="M325" s="25"/>
      <c r="N325" s="24"/>
      <c r="O325" s="26"/>
      <c r="P325" s="24"/>
      <c r="V325" s="23"/>
      <c r="W325" s="27"/>
      <c r="X325" s="27"/>
      <c r="Y325" s="28"/>
      <c r="Z325" s="27"/>
      <c r="AA325" s="27"/>
      <c r="AB325" s="27"/>
      <c r="AC325" s="28"/>
      <c r="AD325" s="29"/>
      <c r="AE325" s="29"/>
      <c r="AF325" s="29"/>
      <c r="AG325" s="28"/>
      <c r="AH325" s="29"/>
      <c r="AI325" s="29"/>
      <c r="AJ325" s="29"/>
    </row>
    <row r="326">
      <c r="C326" s="23"/>
      <c r="L326" s="24"/>
      <c r="M326" s="25"/>
      <c r="N326" s="24"/>
      <c r="O326" s="26"/>
      <c r="P326" s="24"/>
      <c r="V326" s="23"/>
      <c r="W326" s="27"/>
      <c r="X326" s="27"/>
      <c r="Y326" s="28"/>
      <c r="Z326" s="27"/>
      <c r="AA326" s="27"/>
      <c r="AB326" s="27"/>
      <c r="AC326" s="28"/>
      <c r="AD326" s="29"/>
      <c r="AE326" s="29"/>
      <c r="AF326" s="29"/>
      <c r="AG326" s="28"/>
      <c r="AH326" s="29"/>
      <c r="AI326" s="29"/>
      <c r="AJ326" s="29"/>
    </row>
    <row r="327">
      <c r="C327" s="23"/>
      <c r="L327" s="24"/>
      <c r="M327" s="25"/>
      <c r="N327" s="24"/>
      <c r="O327" s="26"/>
      <c r="P327" s="24"/>
      <c r="V327" s="23"/>
      <c r="W327" s="27"/>
      <c r="X327" s="27"/>
      <c r="Y327" s="28"/>
      <c r="Z327" s="27"/>
      <c r="AA327" s="27"/>
      <c r="AB327" s="27"/>
      <c r="AC327" s="28"/>
      <c r="AD327" s="29"/>
      <c r="AE327" s="29"/>
      <c r="AF327" s="29"/>
      <c r="AG327" s="28"/>
      <c r="AH327" s="29"/>
      <c r="AI327" s="29"/>
      <c r="AJ327" s="29"/>
    </row>
    <row r="328">
      <c r="C328" s="23"/>
      <c r="L328" s="24"/>
      <c r="M328" s="25"/>
      <c r="N328" s="24"/>
      <c r="O328" s="26"/>
      <c r="P328" s="24"/>
      <c r="V328" s="23"/>
      <c r="W328" s="27"/>
      <c r="X328" s="27"/>
      <c r="Y328" s="28"/>
      <c r="Z328" s="27"/>
      <c r="AA328" s="27"/>
      <c r="AB328" s="27"/>
      <c r="AC328" s="28"/>
      <c r="AD328" s="29"/>
      <c r="AE328" s="29"/>
      <c r="AF328" s="29"/>
      <c r="AG328" s="28"/>
      <c r="AH328" s="29"/>
      <c r="AI328" s="29"/>
      <c r="AJ328" s="29"/>
    </row>
    <row r="329">
      <c r="C329" s="23"/>
      <c r="L329" s="24"/>
      <c r="M329" s="25"/>
      <c r="N329" s="24"/>
      <c r="O329" s="26"/>
      <c r="P329" s="24"/>
      <c r="V329" s="23"/>
      <c r="W329" s="27"/>
      <c r="X329" s="27"/>
      <c r="Y329" s="28"/>
      <c r="Z329" s="27"/>
      <c r="AA329" s="27"/>
      <c r="AB329" s="27"/>
      <c r="AC329" s="28"/>
      <c r="AD329" s="29"/>
      <c r="AE329" s="29"/>
      <c r="AF329" s="29"/>
      <c r="AG329" s="28"/>
      <c r="AH329" s="29"/>
      <c r="AI329" s="29"/>
      <c r="AJ329" s="29"/>
    </row>
    <row r="330">
      <c r="C330" s="23"/>
      <c r="L330" s="24"/>
      <c r="M330" s="25"/>
      <c r="N330" s="24"/>
      <c r="O330" s="26"/>
      <c r="P330" s="24"/>
      <c r="V330" s="23"/>
      <c r="W330" s="27"/>
      <c r="X330" s="27"/>
      <c r="Y330" s="28"/>
      <c r="Z330" s="27"/>
      <c r="AA330" s="27"/>
      <c r="AB330" s="27"/>
      <c r="AC330" s="28"/>
      <c r="AD330" s="29"/>
      <c r="AE330" s="29"/>
      <c r="AF330" s="29"/>
      <c r="AG330" s="28"/>
      <c r="AH330" s="29"/>
      <c r="AI330" s="29"/>
      <c r="AJ330" s="29"/>
    </row>
    <row r="331">
      <c r="C331" s="23"/>
      <c r="L331" s="24"/>
      <c r="M331" s="25"/>
      <c r="N331" s="24"/>
      <c r="O331" s="26"/>
      <c r="P331" s="24"/>
      <c r="V331" s="23"/>
      <c r="W331" s="27"/>
      <c r="X331" s="27"/>
      <c r="Y331" s="28"/>
      <c r="Z331" s="27"/>
      <c r="AA331" s="27"/>
      <c r="AB331" s="27"/>
      <c r="AC331" s="28"/>
      <c r="AD331" s="29"/>
      <c r="AE331" s="29"/>
      <c r="AF331" s="29"/>
      <c r="AG331" s="28"/>
      <c r="AH331" s="29"/>
      <c r="AI331" s="29"/>
      <c r="AJ331" s="29"/>
    </row>
    <row r="332">
      <c r="C332" s="23"/>
      <c r="L332" s="24"/>
      <c r="M332" s="25"/>
      <c r="N332" s="24"/>
      <c r="O332" s="26"/>
      <c r="P332" s="24"/>
      <c r="V332" s="23"/>
      <c r="W332" s="27"/>
      <c r="X332" s="27"/>
      <c r="Y332" s="28"/>
      <c r="Z332" s="27"/>
      <c r="AA332" s="27"/>
      <c r="AB332" s="27"/>
      <c r="AC332" s="28"/>
      <c r="AD332" s="29"/>
      <c r="AE332" s="29"/>
      <c r="AF332" s="29"/>
      <c r="AG332" s="28"/>
      <c r="AH332" s="29"/>
      <c r="AI332" s="29"/>
      <c r="AJ332" s="29"/>
    </row>
    <row r="333">
      <c r="C333" s="23"/>
      <c r="L333" s="24"/>
      <c r="M333" s="25"/>
      <c r="N333" s="24"/>
      <c r="O333" s="26"/>
      <c r="P333" s="24"/>
      <c r="V333" s="23"/>
      <c r="W333" s="27"/>
      <c r="X333" s="27"/>
      <c r="Y333" s="28"/>
      <c r="Z333" s="27"/>
      <c r="AA333" s="27"/>
      <c r="AB333" s="27"/>
      <c r="AC333" s="28"/>
      <c r="AD333" s="29"/>
      <c r="AE333" s="29"/>
      <c r="AF333" s="29"/>
      <c r="AG333" s="28"/>
      <c r="AH333" s="29"/>
      <c r="AI333" s="29"/>
      <c r="AJ333" s="29"/>
    </row>
    <row r="334">
      <c r="C334" s="23"/>
      <c r="L334" s="24"/>
      <c r="M334" s="25"/>
      <c r="N334" s="24"/>
      <c r="O334" s="26"/>
      <c r="P334" s="24"/>
      <c r="V334" s="23"/>
      <c r="W334" s="27"/>
      <c r="X334" s="27"/>
      <c r="Y334" s="28"/>
      <c r="Z334" s="27"/>
      <c r="AA334" s="27"/>
      <c r="AB334" s="27"/>
      <c r="AC334" s="28"/>
      <c r="AD334" s="29"/>
      <c r="AE334" s="29"/>
      <c r="AF334" s="29"/>
      <c r="AG334" s="28"/>
      <c r="AH334" s="29"/>
      <c r="AI334" s="29"/>
      <c r="AJ334" s="29"/>
    </row>
    <row r="335">
      <c r="C335" s="23"/>
      <c r="L335" s="24"/>
      <c r="M335" s="25"/>
      <c r="N335" s="24"/>
      <c r="O335" s="26"/>
      <c r="P335" s="24"/>
      <c r="V335" s="23"/>
      <c r="W335" s="27"/>
      <c r="X335" s="27"/>
      <c r="Y335" s="28"/>
      <c r="Z335" s="27"/>
      <c r="AA335" s="27"/>
      <c r="AB335" s="27"/>
      <c r="AC335" s="28"/>
      <c r="AD335" s="29"/>
      <c r="AE335" s="29"/>
      <c r="AF335" s="29"/>
      <c r="AG335" s="28"/>
      <c r="AH335" s="29"/>
      <c r="AI335" s="29"/>
      <c r="AJ335" s="29"/>
    </row>
    <row r="336">
      <c r="C336" s="23"/>
      <c r="L336" s="24"/>
      <c r="M336" s="25"/>
      <c r="N336" s="24"/>
      <c r="O336" s="26"/>
      <c r="P336" s="24"/>
      <c r="V336" s="23"/>
      <c r="W336" s="27"/>
      <c r="X336" s="27"/>
      <c r="Y336" s="28"/>
      <c r="Z336" s="27"/>
      <c r="AA336" s="27"/>
      <c r="AB336" s="27"/>
      <c r="AC336" s="28"/>
      <c r="AD336" s="29"/>
      <c r="AE336" s="29"/>
      <c r="AF336" s="29"/>
      <c r="AG336" s="28"/>
      <c r="AH336" s="29"/>
      <c r="AI336" s="29"/>
      <c r="AJ336" s="29"/>
    </row>
    <row r="337">
      <c r="C337" s="23"/>
      <c r="L337" s="24"/>
      <c r="M337" s="25"/>
      <c r="N337" s="24"/>
      <c r="O337" s="26"/>
      <c r="P337" s="24"/>
      <c r="V337" s="23"/>
      <c r="W337" s="27"/>
      <c r="X337" s="27"/>
      <c r="Y337" s="28"/>
      <c r="Z337" s="27"/>
      <c r="AA337" s="27"/>
      <c r="AB337" s="27"/>
      <c r="AC337" s="28"/>
      <c r="AD337" s="29"/>
      <c r="AE337" s="29"/>
      <c r="AF337" s="29"/>
      <c r="AG337" s="28"/>
      <c r="AH337" s="29"/>
      <c r="AI337" s="29"/>
      <c r="AJ337" s="29"/>
    </row>
    <row r="338">
      <c r="C338" s="23"/>
      <c r="L338" s="24"/>
      <c r="M338" s="25"/>
      <c r="N338" s="24"/>
      <c r="O338" s="26"/>
      <c r="P338" s="24"/>
      <c r="V338" s="23"/>
      <c r="W338" s="27"/>
      <c r="X338" s="27"/>
      <c r="Y338" s="28"/>
      <c r="Z338" s="27"/>
      <c r="AA338" s="27"/>
      <c r="AB338" s="27"/>
      <c r="AC338" s="28"/>
      <c r="AD338" s="29"/>
      <c r="AE338" s="29"/>
      <c r="AF338" s="29"/>
      <c r="AG338" s="28"/>
      <c r="AH338" s="29"/>
      <c r="AI338" s="29"/>
      <c r="AJ338" s="29"/>
    </row>
    <row r="339">
      <c r="C339" s="23"/>
      <c r="L339" s="24"/>
      <c r="M339" s="25"/>
      <c r="N339" s="24"/>
      <c r="O339" s="26"/>
      <c r="P339" s="24"/>
      <c r="V339" s="23"/>
      <c r="W339" s="27"/>
      <c r="X339" s="27"/>
      <c r="Y339" s="28"/>
      <c r="Z339" s="27"/>
      <c r="AA339" s="27"/>
      <c r="AB339" s="27"/>
      <c r="AC339" s="28"/>
      <c r="AD339" s="29"/>
      <c r="AE339" s="29"/>
      <c r="AF339" s="29"/>
      <c r="AG339" s="28"/>
      <c r="AH339" s="29"/>
      <c r="AI339" s="29"/>
      <c r="AJ339" s="29"/>
    </row>
    <row r="340">
      <c r="C340" s="23"/>
      <c r="L340" s="24"/>
      <c r="M340" s="25"/>
      <c r="N340" s="24"/>
      <c r="O340" s="26"/>
      <c r="P340" s="24"/>
      <c r="V340" s="23"/>
      <c r="W340" s="27"/>
      <c r="X340" s="27"/>
      <c r="Y340" s="28"/>
      <c r="Z340" s="27"/>
      <c r="AA340" s="27"/>
      <c r="AB340" s="27"/>
      <c r="AC340" s="28"/>
      <c r="AD340" s="29"/>
      <c r="AE340" s="29"/>
      <c r="AF340" s="29"/>
      <c r="AG340" s="28"/>
      <c r="AH340" s="29"/>
      <c r="AI340" s="29"/>
      <c r="AJ340" s="29"/>
    </row>
    <row r="341">
      <c r="C341" s="23"/>
      <c r="L341" s="24"/>
      <c r="M341" s="25"/>
      <c r="N341" s="24"/>
      <c r="O341" s="26"/>
      <c r="P341" s="24"/>
      <c r="V341" s="23"/>
      <c r="W341" s="27"/>
      <c r="X341" s="27"/>
      <c r="Y341" s="28"/>
      <c r="Z341" s="27"/>
      <c r="AA341" s="27"/>
      <c r="AB341" s="27"/>
      <c r="AC341" s="28"/>
      <c r="AD341" s="29"/>
      <c r="AE341" s="29"/>
      <c r="AF341" s="29"/>
      <c r="AG341" s="28"/>
      <c r="AH341" s="29"/>
      <c r="AI341" s="29"/>
      <c r="AJ341" s="29"/>
    </row>
    <row r="342">
      <c r="C342" s="23"/>
      <c r="L342" s="24"/>
      <c r="M342" s="25"/>
      <c r="N342" s="24"/>
      <c r="O342" s="26"/>
      <c r="P342" s="24"/>
      <c r="V342" s="23"/>
      <c r="W342" s="27"/>
      <c r="X342" s="27"/>
      <c r="Y342" s="28"/>
      <c r="Z342" s="27"/>
      <c r="AA342" s="27"/>
      <c r="AB342" s="27"/>
      <c r="AC342" s="28"/>
      <c r="AD342" s="29"/>
      <c r="AE342" s="29"/>
      <c r="AF342" s="29"/>
      <c r="AG342" s="28"/>
      <c r="AH342" s="29"/>
      <c r="AI342" s="29"/>
      <c r="AJ342" s="29"/>
    </row>
    <row r="343">
      <c r="C343" s="23"/>
      <c r="L343" s="24"/>
      <c r="M343" s="25"/>
      <c r="N343" s="24"/>
      <c r="O343" s="26"/>
      <c r="P343" s="24"/>
      <c r="V343" s="23"/>
      <c r="W343" s="27"/>
      <c r="X343" s="27"/>
      <c r="Y343" s="28"/>
      <c r="Z343" s="27"/>
      <c r="AA343" s="27"/>
      <c r="AB343" s="27"/>
      <c r="AC343" s="28"/>
      <c r="AD343" s="29"/>
      <c r="AE343" s="29"/>
      <c r="AF343" s="29"/>
      <c r="AG343" s="28"/>
      <c r="AH343" s="29"/>
      <c r="AI343" s="29"/>
      <c r="AJ343" s="29"/>
    </row>
    <row r="344">
      <c r="C344" s="23"/>
      <c r="L344" s="24"/>
      <c r="M344" s="25"/>
      <c r="N344" s="24"/>
      <c r="O344" s="26"/>
      <c r="P344" s="24"/>
      <c r="V344" s="23"/>
      <c r="W344" s="27"/>
      <c r="X344" s="27"/>
      <c r="Y344" s="28"/>
      <c r="Z344" s="27"/>
      <c r="AA344" s="27"/>
      <c r="AB344" s="27"/>
      <c r="AC344" s="28"/>
      <c r="AD344" s="29"/>
      <c r="AE344" s="29"/>
      <c r="AF344" s="29"/>
      <c r="AG344" s="28"/>
      <c r="AH344" s="29"/>
      <c r="AI344" s="29"/>
      <c r="AJ344" s="29"/>
    </row>
    <row r="345">
      <c r="C345" s="23"/>
      <c r="L345" s="24"/>
      <c r="M345" s="25"/>
      <c r="N345" s="24"/>
      <c r="O345" s="26"/>
      <c r="P345" s="24"/>
      <c r="V345" s="23"/>
      <c r="W345" s="27"/>
      <c r="X345" s="27"/>
      <c r="Y345" s="28"/>
      <c r="Z345" s="27"/>
      <c r="AA345" s="27"/>
      <c r="AB345" s="27"/>
      <c r="AC345" s="28"/>
      <c r="AD345" s="29"/>
      <c r="AE345" s="29"/>
      <c r="AF345" s="29"/>
      <c r="AG345" s="28"/>
      <c r="AH345" s="29"/>
      <c r="AI345" s="29"/>
      <c r="AJ345" s="29"/>
    </row>
    <row r="346">
      <c r="C346" s="23"/>
      <c r="L346" s="24"/>
      <c r="M346" s="25"/>
      <c r="N346" s="24"/>
      <c r="O346" s="26"/>
      <c r="P346" s="24"/>
      <c r="V346" s="23"/>
      <c r="W346" s="27"/>
      <c r="X346" s="27"/>
      <c r="Y346" s="28"/>
      <c r="Z346" s="27"/>
      <c r="AA346" s="27"/>
      <c r="AB346" s="27"/>
      <c r="AC346" s="28"/>
      <c r="AD346" s="29"/>
      <c r="AE346" s="29"/>
      <c r="AF346" s="29"/>
      <c r="AG346" s="28"/>
      <c r="AH346" s="29"/>
      <c r="AI346" s="29"/>
      <c r="AJ346" s="29"/>
    </row>
    <row r="347">
      <c r="C347" s="23"/>
      <c r="L347" s="24"/>
      <c r="M347" s="25"/>
      <c r="N347" s="24"/>
      <c r="O347" s="26"/>
      <c r="P347" s="24"/>
      <c r="V347" s="23"/>
      <c r="W347" s="27"/>
      <c r="X347" s="27"/>
      <c r="Y347" s="28"/>
      <c r="Z347" s="27"/>
      <c r="AA347" s="27"/>
      <c r="AB347" s="27"/>
      <c r="AC347" s="28"/>
      <c r="AD347" s="29"/>
      <c r="AE347" s="29"/>
      <c r="AF347" s="29"/>
      <c r="AG347" s="28"/>
      <c r="AH347" s="29"/>
      <c r="AI347" s="29"/>
      <c r="AJ347" s="29"/>
    </row>
    <row r="348">
      <c r="C348" s="23"/>
      <c r="L348" s="24"/>
      <c r="M348" s="25"/>
      <c r="N348" s="24"/>
      <c r="O348" s="26"/>
      <c r="P348" s="24"/>
      <c r="V348" s="23"/>
      <c r="W348" s="27"/>
      <c r="X348" s="27"/>
      <c r="Y348" s="28"/>
      <c r="Z348" s="27"/>
      <c r="AA348" s="27"/>
      <c r="AB348" s="27"/>
      <c r="AC348" s="28"/>
      <c r="AD348" s="29"/>
      <c r="AE348" s="29"/>
      <c r="AF348" s="29"/>
      <c r="AG348" s="28"/>
      <c r="AH348" s="29"/>
      <c r="AI348" s="29"/>
      <c r="AJ348" s="29"/>
    </row>
    <row r="349">
      <c r="C349" s="23"/>
      <c r="L349" s="24"/>
      <c r="M349" s="25"/>
      <c r="N349" s="24"/>
      <c r="O349" s="26"/>
      <c r="P349" s="24"/>
      <c r="V349" s="23"/>
      <c r="W349" s="27"/>
      <c r="X349" s="27"/>
      <c r="Y349" s="28"/>
      <c r="Z349" s="27"/>
      <c r="AA349" s="27"/>
      <c r="AB349" s="27"/>
      <c r="AC349" s="28"/>
      <c r="AD349" s="29"/>
      <c r="AE349" s="29"/>
      <c r="AF349" s="29"/>
      <c r="AG349" s="28"/>
      <c r="AH349" s="29"/>
      <c r="AI349" s="29"/>
      <c r="AJ349" s="29"/>
    </row>
    <row r="350">
      <c r="C350" s="23"/>
      <c r="L350" s="24"/>
      <c r="M350" s="25"/>
      <c r="N350" s="24"/>
      <c r="O350" s="26"/>
      <c r="P350" s="24"/>
      <c r="V350" s="23"/>
      <c r="W350" s="27"/>
      <c r="X350" s="27"/>
      <c r="Y350" s="28"/>
      <c r="Z350" s="27"/>
      <c r="AA350" s="27"/>
      <c r="AB350" s="27"/>
      <c r="AC350" s="28"/>
      <c r="AD350" s="29"/>
      <c r="AE350" s="29"/>
      <c r="AF350" s="29"/>
      <c r="AG350" s="28"/>
      <c r="AH350" s="29"/>
      <c r="AI350" s="29"/>
      <c r="AJ350" s="29"/>
    </row>
    <row r="351">
      <c r="C351" s="23"/>
      <c r="L351" s="24"/>
      <c r="M351" s="25"/>
      <c r="N351" s="24"/>
      <c r="O351" s="26"/>
      <c r="P351" s="24"/>
      <c r="V351" s="23"/>
      <c r="W351" s="27"/>
      <c r="X351" s="27"/>
      <c r="Y351" s="28"/>
      <c r="Z351" s="27"/>
      <c r="AA351" s="27"/>
      <c r="AB351" s="27"/>
      <c r="AC351" s="28"/>
      <c r="AD351" s="29"/>
      <c r="AE351" s="29"/>
      <c r="AF351" s="29"/>
      <c r="AG351" s="28"/>
      <c r="AH351" s="29"/>
      <c r="AI351" s="29"/>
      <c r="AJ351" s="29"/>
    </row>
    <row r="352">
      <c r="C352" s="23"/>
      <c r="L352" s="24"/>
      <c r="M352" s="25"/>
      <c r="N352" s="24"/>
      <c r="O352" s="26"/>
      <c r="P352" s="24"/>
      <c r="V352" s="23"/>
      <c r="W352" s="27"/>
      <c r="X352" s="27"/>
      <c r="Y352" s="28"/>
      <c r="Z352" s="27"/>
      <c r="AA352" s="27"/>
      <c r="AB352" s="27"/>
      <c r="AC352" s="28"/>
      <c r="AD352" s="29"/>
      <c r="AE352" s="29"/>
      <c r="AF352" s="29"/>
      <c r="AG352" s="28"/>
      <c r="AH352" s="29"/>
      <c r="AI352" s="29"/>
      <c r="AJ352" s="29"/>
    </row>
    <row r="353">
      <c r="C353" s="23"/>
      <c r="L353" s="24"/>
      <c r="M353" s="25"/>
      <c r="N353" s="24"/>
      <c r="O353" s="26"/>
      <c r="P353" s="24"/>
      <c r="V353" s="23"/>
      <c r="W353" s="27"/>
      <c r="X353" s="27"/>
      <c r="Y353" s="28"/>
      <c r="Z353" s="27"/>
      <c r="AA353" s="27"/>
      <c r="AB353" s="27"/>
      <c r="AC353" s="28"/>
      <c r="AD353" s="29"/>
      <c r="AE353" s="29"/>
      <c r="AF353" s="29"/>
      <c r="AG353" s="28"/>
      <c r="AH353" s="29"/>
      <c r="AI353" s="29"/>
      <c r="AJ353" s="29"/>
    </row>
    <row r="354">
      <c r="C354" s="23"/>
      <c r="L354" s="24"/>
      <c r="M354" s="25"/>
      <c r="N354" s="24"/>
      <c r="O354" s="26"/>
      <c r="P354" s="24"/>
      <c r="V354" s="23"/>
      <c r="W354" s="27"/>
      <c r="X354" s="27"/>
      <c r="Y354" s="28"/>
      <c r="Z354" s="27"/>
      <c r="AA354" s="27"/>
      <c r="AB354" s="27"/>
      <c r="AC354" s="28"/>
      <c r="AD354" s="29"/>
      <c r="AE354" s="29"/>
      <c r="AF354" s="29"/>
      <c r="AG354" s="28"/>
      <c r="AH354" s="29"/>
      <c r="AI354" s="29"/>
      <c r="AJ354" s="29"/>
    </row>
    <row r="355">
      <c r="C355" s="23"/>
      <c r="L355" s="24"/>
      <c r="M355" s="25"/>
      <c r="N355" s="24"/>
      <c r="O355" s="26"/>
      <c r="P355" s="24"/>
      <c r="V355" s="23"/>
      <c r="W355" s="27"/>
      <c r="X355" s="27"/>
      <c r="Y355" s="28"/>
      <c r="Z355" s="27"/>
      <c r="AA355" s="27"/>
      <c r="AB355" s="27"/>
      <c r="AC355" s="28"/>
      <c r="AD355" s="29"/>
      <c r="AE355" s="29"/>
      <c r="AF355" s="29"/>
      <c r="AG355" s="28"/>
      <c r="AH355" s="29"/>
      <c r="AI355" s="29"/>
      <c r="AJ355" s="29"/>
    </row>
    <row r="356">
      <c r="C356" s="23"/>
      <c r="L356" s="24"/>
      <c r="M356" s="25"/>
      <c r="N356" s="24"/>
      <c r="O356" s="26"/>
      <c r="P356" s="24"/>
      <c r="V356" s="23"/>
      <c r="W356" s="27"/>
      <c r="X356" s="27"/>
      <c r="Y356" s="28"/>
      <c r="Z356" s="27"/>
      <c r="AA356" s="27"/>
      <c r="AB356" s="27"/>
      <c r="AC356" s="28"/>
      <c r="AD356" s="29"/>
      <c r="AE356" s="29"/>
      <c r="AF356" s="29"/>
      <c r="AG356" s="28"/>
      <c r="AH356" s="29"/>
      <c r="AI356" s="29"/>
      <c r="AJ356" s="29"/>
    </row>
    <row r="357">
      <c r="C357" s="23"/>
      <c r="L357" s="24"/>
      <c r="M357" s="25"/>
      <c r="N357" s="24"/>
      <c r="O357" s="26"/>
      <c r="P357" s="24"/>
      <c r="V357" s="23"/>
      <c r="W357" s="27"/>
      <c r="X357" s="27"/>
      <c r="Y357" s="28"/>
      <c r="Z357" s="27"/>
      <c r="AA357" s="27"/>
      <c r="AB357" s="27"/>
      <c r="AC357" s="28"/>
      <c r="AD357" s="29"/>
      <c r="AE357" s="29"/>
      <c r="AF357" s="29"/>
      <c r="AG357" s="28"/>
      <c r="AH357" s="29"/>
      <c r="AI357" s="29"/>
      <c r="AJ357" s="29"/>
    </row>
    <row r="358">
      <c r="C358" s="23"/>
      <c r="L358" s="24"/>
      <c r="M358" s="25"/>
      <c r="N358" s="24"/>
      <c r="O358" s="26"/>
      <c r="P358" s="24"/>
      <c r="V358" s="23"/>
      <c r="W358" s="27"/>
      <c r="X358" s="27"/>
      <c r="Y358" s="28"/>
      <c r="Z358" s="27"/>
      <c r="AA358" s="27"/>
      <c r="AB358" s="27"/>
      <c r="AC358" s="28"/>
      <c r="AD358" s="29"/>
      <c r="AE358" s="29"/>
      <c r="AF358" s="29"/>
      <c r="AG358" s="28"/>
      <c r="AH358" s="29"/>
      <c r="AI358" s="29"/>
      <c r="AJ358" s="29"/>
    </row>
    <row r="359">
      <c r="C359" s="23"/>
      <c r="L359" s="24"/>
      <c r="M359" s="25"/>
      <c r="N359" s="24"/>
      <c r="O359" s="26"/>
      <c r="P359" s="24"/>
      <c r="V359" s="23"/>
      <c r="W359" s="27"/>
      <c r="X359" s="27"/>
      <c r="Y359" s="28"/>
      <c r="Z359" s="27"/>
      <c r="AA359" s="27"/>
      <c r="AB359" s="27"/>
      <c r="AC359" s="28"/>
      <c r="AD359" s="29"/>
      <c r="AE359" s="29"/>
      <c r="AF359" s="29"/>
      <c r="AG359" s="28"/>
      <c r="AH359" s="29"/>
      <c r="AI359" s="29"/>
      <c r="AJ359" s="29"/>
    </row>
    <row r="360">
      <c r="C360" s="23"/>
      <c r="L360" s="24"/>
      <c r="M360" s="25"/>
      <c r="N360" s="24"/>
      <c r="O360" s="26"/>
      <c r="P360" s="24"/>
      <c r="V360" s="23"/>
      <c r="W360" s="27"/>
      <c r="X360" s="27"/>
      <c r="Y360" s="28"/>
      <c r="Z360" s="27"/>
      <c r="AA360" s="27"/>
      <c r="AB360" s="27"/>
      <c r="AC360" s="28"/>
      <c r="AD360" s="29"/>
      <c r="AE360" s="29"/>
      <c r="AF360" s="29"/>
      <c r="AG360" s="28"/>
      <c r="AH360" s="29"/>
      <c r="AI360" s="29"/>
      <c r="AJ360" s="29"/>
    </row>
    <row r="361">
      <c r="C361" s="23"/>
      <c r="L361" s="24"/>
      <c r="M361" s="25"/>
      <c r="N361" s="24"/>
      <c r="O361" s="26"/>
      <c r="P361" s="24"/>
      <c r="V361" s="23"/>
      <c r="W361" s="27"/>
      <c r="X361" s="27"/>
      <c r="Y361" s="28"/>
      <c r="Z361" s="27"/>
      <c r="AA361" s="27"/>
      <c r="AB361" s="27"/>
      <c r="AC361" s="28"/>
      <c r="AD361" s="29"/>
      <c r="AE361" s="29"/>
      <c r="AF361" s="29"/>
      <c r="AG361" s="28"/>
      <c r="AH361" s="29"/>
      <c r="AI361" s="29"/>
      <c r="AJ361" s="29"/>
    </row>
    <row r="362">
      <c r="C362" s="23"/>
      <c r="L362" s="24"/>
      <c r="M362" s="25"/>
      <c r="N362" s="24"/>
      <c r="O362" s="26"/>
      <c r="P362" s="24"/>
      <c r="V362" s="23"/>
      <c r="W362" s="27"/>
      <c r="X362" s="27"/>
      <c r="Y362" s="28"/>
      <c r="Z362" s="27"/>
      <c r="AA362" s="27"/>
      <c r="AB362" s="27"/>
      <c r="AC362" s="28"/>
      <c r="AD362" s="29"/>
      <c r="AE362" s="29"/>
      <c r="AF362" s="29"/>
      <c r="AG362" s="28"/>
      <c r="AH362" s="29"/>
      <c r="AI362" s="29"/>
      <c r="AJ362" s="29"/>
    </row>
    <row r="363">
      <c r="C363" s="23"/>
      <c r="L363" s="24"/>
      <c r="M363" s="25"/>
      <c r="N363" s="24"/>
      <c r="O363" s="26"/>
      <c r="P363" s="24"/>
      <c r="V363" s="23"/>
      <c r="W363" s="27"/>
      <c r="X363" s="27"/>
      <c r="Y363" s="28"/>
      <c r="Z363" s="27"/>
      <c r="AA363" s="27"/>
      <c r="AB363" s="27"/>
      <c r="AC363" s="28"/>
      <c r="AD363" s="29"/>
      <c r="AE363" s="29"/>
      <c r="AF363" s="29"/>
      <c r="AG363" s="28"/>
      <c r="AH363" s="29"/>
      <c r="AI363" s="29"/>
      <c r="AJ363" s="29"/>
    </row>
    <row r="364">
      <c r="C364" s="23"/>
      <c r="L364" s="24"/>
      <c r="M364" s="25"/>
      <c r="N364" s="24"/>
      <c r="O364" s="26"/>
      <c r="P364" s="24"/>
      <c r="V364" s="23"/>
      <c r="W364" s="27"/>
      <c r="X364" s="27"/>
      <c r="Y364" s="28"/>
      <c r="Z364" s="27"/>
      <c r="AA364" s="27"/>
      <c r="AB364" s="27"/>
      <c r="AC364" s="28"/>
      <c r="AD364" s="29"/>
      <c r="AE364" s="29"/>
      <c r="AF364" s="29"/>
      <c r="AG364" s="28"/>
      <c r="AH364" s="29"/>
      <c r="AI364" s="29"/>
      <c r="AJ364" s="29"/>
    </row>
    <row r="365">
      <c r="C365" s="23"/>
      <c r="L365" s="24"/>
      <c r="M365" s="25"/>
      <c r="N365" s="24"/>
      <c r="O365" s="26"/>
      <c r="P365" s="24"/>
      <c r="V365" s="23"/>
      <c r="W365" s="27"/>
      <c r="X365" s="27"/>
      <c r="Y365" s="28"/>
      <c r="Z365" s="27"/>
      <c r="AA365" s="27"/>
      <c r="AB365" s="27"/>
      <c r="AC365" s="28"/>
      <c r="AD365" s="29"/>
      <c r="AE365" s="29"/>
      <c r="AF365" s="29"/>
      <c r="AG365" s="28"/>
      <c r="AH365" s="29"/>
      <c r="AI365" s="29"/>
      <c r="AJ365" s="29"/>
    </row>
    <row r="366">
      <c r="C366" s="23"/>
      <c r="L366" s="24"/>
      <c r="M366" s="25"/>
      <c r="N366" s="24"/>
      <c r="O366" s="26"/>
      <c r="P366" s="24"/>
      <c r="V366" s="23"/>
      <c r="W366" s="27"/>
      <c r="X366" s="27"/>
      <c r="Y366" s="28"/>
      <c r="Z366" s="27"/>
      <c r="AA366" s="27"/>
      <c r="AB366" s="27"/>
      <c r="AC366" s="28"/>
      <c r="AD366" s="29"/>
      <c r="AE366" s="29"/>
      <c r="AF366" s="29"/>
      <c r="AG366" s="28"/>
      <c r="AH366" s="29"/>
      <c r="AI366" s="29"/>
      <c r="AJ366" s="29"/>
    </row>
    <row r="367">
      <c r="C367" s="23"/>
      <c r="L367" s="24"/>
      <c r="M367" s="25"/>
      <c r="N367" s="24"/>
      <c r="O367" s="26"/>
      <c r="P367" s="24"/>
      <c r="V367" s="23"/>
      <c r="W367" s="27"/>
      <c r="X367" s="27"/>
      <c r="Y367" s="28"/>
      <c r="Z367" s="27"/>
      <c r="AA367" s="27"/>
      <c r="AB367" s="27"/>
      <c r="AC367" s="28"/>
      <c r="AD367" s="29"/>
      <c r="AE367" s="29"/>
      <c r="AF367" s="29"/>
      <c r="AG367" s="28"/>
      <c r="AH367" s="29"/>
      <c r="AI367" s="29"/>
      <c r="AJ367" s="29"/>
    </row>
    <row r="368">
      <c r="C368" s="23"/>
      <c r="L368" s="24"/>
      <c r="M368" s="25"/>
      <c r="N368" s="24"/>
      <c r="O368" s="26"/>
      <c r="P368" s="24"/>
      <c r="V368" s="23"/>
      <c r="W368" s="27"/>
      <c r="X368" s="27"/>
      <c r="Y368" s="28"/>
      <c r="Z368" s="27"/>
      <c r="AA368" s="27"/>
      <c r="AB368" s="27"/>
      <c r="AC368" s="28"/>
      <c r="AD368" s="29"/>
      <c r="AE368" s="29"/>
      <c r="AF368" s="29"/>
      <c r="AG368" s="28"/>
      <c r="AH368" s="29"/>
      <c r="AI368" s="29"/>
      <c r="AJ368" s="29"/>
    </row>
    <row r="369">
      <c r="C369" s="23"/>
      <c r="L369" s="24"/>
      <c r="M369" s="25"/>
      <c r="N369" s="24"/>
      <c r="O369" s="26"/>
      <c r="P369" s="24"/>
      <c r="V369" s="23"/>
      <c r="W369" s="27"/>
      <c r="X369" s="27"/>
      <c r="Y369" s="28"/>
      <c r="Z369" s="27"/>
      <c r="AA369" s="27"/>
      <c r="AB369" s="27"/>
      <c r="AC369" s="28"/>
      <c r="AD369" s="29"/>
      <c r="AE369" s="29"/>
      <c r="AF369" s="29"/>
      <c r="AG369" s="28"/>
      <c r="AH369" s="29"/>
      <c r="AI369" s="29"/>
      <c r="AJ369" s="29"/>
    </row>
    <row r="370">
      <c r="C370" s="23"/>
      <c r="L370" s="24"/>
      <c r="M370" s="25"/>
      <c r="N370" s="24"/>
      <c r="O370" s="26"/>
      <c r="P370" s="24"/>
      <c r="V370" s="23"/>
      <c r="W370" s="27"/>
      <c r="X370" s="27"/>
      <c r="Y370" s="28"/>
      <c r="Z370" s="27"/>
      <c r="AA370" s="27"/>
      <c r="AB370" s="27"/>
      <c r="AC370" s="28"/>
      <c r="AD370" s="29"/>
      <c r="AE370" s="29"/>
      <c r="AF370" s="29"/>
      <c r="AG370" s="28"/>
      <c r="AH370" s="29"/>
      <c r="AI370" s="29"/>
      <c r="AJ370" s="29"/>
    </row>
    <row r="371">
      <c r="C371" s="23"/>
      <c r="L371" s="24"/>
      <c r="M371" s="25"/>
      <c r="N371" s="24"/>
      <c r="O371" s="26"/>
      <c r="P371" s="24"/>
      <c r="V371" s="23"/>
      <c r="W371" s="27"/>
      <c r="X371" s="27"/>
      <c r="Y371" s="28"/>
      <c r="Z371" s="27"/>
      <c r="AA371" s="27"/>
      <c r="AB371" s="27"/>
      <c r="AC371" s="28"/>
      <c r="AD371" s="29"/>
      <c r="AE371" s="29"/>
      <c r="AF371" s="29"/>
      <c r="AG371" s="28"/>
      <c r="AH371" s="29"/>
      <c r="AI371" s="29"/>
      <c r="AJ371" s="29"/>
    </row>
    <row r="372">
      <c r="C372" s="23"/>
      <c r="L372" s="24"/>
      <c r="M372" s="25"/>
      <c r="N372" s="24"/>
      <c r="O372" s="26"/>
      <c r="P372" s="24"/>
      <c r="V372" s="23"/>
      <c r="W372" s="27"/>
      <c r="X372" s="27"/>
      <c r="Y372" s="28"/>
      <c r="Z372" s="27"/>
      <c r="AA372" s="27"/>
      <c r="AB372" s="27"/>
      <c r="AC372" s="28"/>
      <c r="AD372" s="29"/>
      <c r="AE372" s="29"/>
      <c r="AF372" s="29"/>
      <c r="AG372" s="28"/>
      <c r="AH372" s="29"/>
      <c r="AI372" s="29"/>
      <c r="AJ372" s="29"/>
    </row>
    <row r="373">
      <c r="C373" s="23"/>
      <c r="L373" s="24"/>
      <c r="M373" s="25"/>
      <c r="N373" s="24"/>
      <c r="O373" s="26"/>
      <c r="P373" s="24"/>
      <c r="V373" s="23"/>
      <c r="W373" s="27"/>
      <c r="X373" s="27"/>
      <c r="Y373" s="28"/>
      <c r="Z373" s="27"/>
      <c r="AA373" s="27"/>
      <c r="AB373" s="27"/>
      <c r="AC373" s="28"/>
      <c r="AD373" s="29"/>
      <c r="AE373" s="29"/>
      <c r="AF373" s="29"/>
      <c r="AG373" s="28"/>
      <c r="AH373" s="29"/>
      <c r="AI373" s="29"/>
      <c r="AJ373" s="29"/>
    </row>
    <row r="374">
      <c r="C374" s="23"/>
      <c r="L374" s="24"/>
      <c r="M374" s="25"/>
      <c r="N374" s="24"/>
      <c r="O374" s="26"/>
      <c r="P374" s="24"/>
      <c r="V374" s="23"/>
      <c r="W374" s="27"/>
      <c r="X374" s="27"/>
      <c r="Y374" s="28"/>
      <c r="Z374" s="27"/>
      <c r="AA374" s="27"/>
      <c r="AB374" s="27"/>
      <c r="AC374" s="28"/>
      <c r="AD374" s="29"/>
      <c r="AE374" s="29"/>
      <c r="AF374" s="29"/>
      <c r="AG374" s="28"/>
      <c r="AH374" s="29"/>
      <c r="AI374" s="29"/>
      <c r="AJ374" s="29"/>
    </row>
    <row r="375">
      <c r="C375" s="23"/>
      <c r="L375" s="24"/>
      <c r="M375" s="25"/>
      <c r="N375" s="24"/>
      <c r="O375" s="26"/>
      <c r="P375" s="24"/>
      <c r="V375" s="23"/>
      <c r="W375" s="27"/>
      <c r="X375" s="27"/>
      <c r="Y375" s="28"/>
      <c r="Z375" s="27"/>
      <c r="AA375" s="27"/>
      <c r="AB375" s="27"/>
      <c r="AC375" s="28"/>
      <c r="AD375" s="29"/>
      <c r="AE375" s="29"/>
      <c r="AF375" s="29"/>
      <c r="AG375" s="28"/>
      <c r="AH375" s="29"/>
      <c r="AI375" s="29"/>
      <c r="AJ375" s="29"/>
    </row>
    <row r="376">
      <c r="C376" s="23"/>
      <c r="L376" s="24"/>
      <c r="M376" s="25"/>
      <c r="N376" s="24"/>
      <c r="O376" s="26"/>
      <c r="P376" s="24"/>
      <c r="V376" s="23"/>
      <c r="W376" s="27"/>
      <c r="X376" s="27"/>
      <c r="Y376" s="28"/>
      <c r="Z376" s="27"/>
      <c r="AA376" s="27"/>
      <c r="AB376" s="27"/>
      <c r="AC376" s="28"/>
      <c r="AD376" s="29"/>
      <c r="AE376" s="29"/>
      <c r="AF376" s="29"/>
      <c r="AG376" s="28"/>
      <c r="AH376" s="29"/>
      <c r="AI376" s="29"/>
      <c r="AJ376" s="29"/>
    </row>
    <row r="377">
      <c r="C377" s="23"/>
      <c r="L377" s="24"/>
      <c r="M377" s="25"/>
      <c r="N377" s="24"/>
      <c r="O377" s="26"/>
      <c r="P377" s="24"/>
      <c r="V377" s="23"/>
      <c r="W377" s="27"/>
      <c r="X377" s="27"/>
      <c r="Y377" s="28"/>
      <c r="Z377" s="27"/>
      <c r="AA377" s="27"/>
      <c r="AB377" s="27"/>
      <c r="AC377" s="28"/>
      <c r="AD377" s="29"/>
      <c r="AE377" s="29"/>
      <c r="AF377" s="29"/>
      <c r="AG377" s="28"/>
      <c r="AH377" s="29"/>
      <c r="AI377" s="29"/>
      <c r="AJ377" s="29"/>
    </row>
    <row r="378">
      <c r="C378" s="23"/>
      <c r="L378" s="24"/>
      <c r="M378" s="25"/>
      <c r="N378" s="24"/>
      <c r="O378" s="26"/>
      <c r="P378" s="24"/>
      <c r="V378" s="23"/>
      <c r="W378" s="27"/>
      <c r="X378" s="27"/>
      <c r="Y378" s="28"/>
      <c r="Z378" s="27"/>
      <c r="AA378" s="27"/>
      <c r="AB378" s="27"/>
      <c r="AC378" s="28"/>
      <c r="AD378" s="29"/>
      <c r="AE378" s="29"/>
      <c r="AF378" s="29"/>
      <c r="AG378" s="28"/>
      <c r="AH378" s="29"/>
      <c r="AI378" s="29"/>
      <c r="AJ378" s="29"/>
    </row>
    <row r="379">
      <c r="C379" s="23"/>
      <c r="L379" s="24"/>
      <c r="M379" s="25"/>
      <c r="N379" s="24"/>
      <c r="O379" s="26"/>
      <c r="P379" s="24"/>
      <c r="V379" s="23"/>
      <c r="W379" s="27"/>
      <c r="X379" s="27"/>
      <c r="Y379" s="28"/>
      <c r="Z379" s="27"/>
      <c r="AA379" s="27"/>
      <c r="AB379" s="27"/>
      <c r="AC379" s="28"/>
      <c r="AD379" s="29"/>
      <c r="AE379" s="29"/>
      <c r="AF379" s="29"/>
      <c r="AG379" s="28"/>
      <c r="AH379" s="29"/>
      <c r="AI379" s="29"/>
      <c r="AJ379" s="29"/>
    </row>
    <row r="380">
      <c r="C380" s="23"/>
      <c r="L380" s="24"/>
      <c r="M380" s="25"/>
      <c r="N380" s="24"/>
      <c r="O380" s="26"/>
      <c r="P380" s="24"/>
      <c r="V380" s="23"/>
      <c r="W380" s="27"/>
      <c r="X380" s="27"/>
      <c r="Y380" s="28"/>
      <c r="Z380" s="27"/>
      <c r="AA380" s="27"/>
      <c r="AB380" s="27"/>
      <c r="AC380" s="28"/>
      <c r="AD380" s="29"/>
      <c r="AE380" s="29"/>
      <c r="AF380" s="29"/>
      <c r="AG380" s="28"/>
      <c r="AH380" s="29"/>
      <c r="AI380" s="29"/>
      <c r="AJ380" s="29"/>
    </row>
    <row r="381">
      <c r="C381" s="23"/>
      <c r="L381" s="24"/>
      <c r="M381" s="25"/>
      <c r="N381" s="24"/>
      <c r="O381" s="26"/>
      <c r="P381" s="24"/>
      <c r="V381" s="23"/>
      <c r="W381" s="27"/>
      <c r="X381" s="27"/>
      <c r="Y381" s="28"/>
      <c r="Z381" s="27"/>
      <c r="AA381" s="27"/>
      <c r="AB381" s="27"/>
      <c r="AC381" s="28"/>
      <c r="AD381" s="29"/>
      <c r="AE381" s="29"/>
      <c r="AF381" s="29"/>
      <c r="AG381" s="28"/>
      <c r="AH381" s="29"/>
      <c r="AI381" s="29"/>
      <c r="AJ381" s="29"/>
    </row>
    <row r="382">
      <c r="C382" s="23"/>
      <c r="L382" s="24"/>
      <c r="M382" s="25"/>
      <c r="N382" s="24"/>
      <c r="O382" s="26"/>
      <c r="P382" s="24"/>
      <c r="V382" s="23"/>
      <c r="W382" s="27"/>
      <c r="X382" s="27"/>
      <c r="Y382" s="28"/>
      <c r="Z382" s="27"/>
      <c r="AA382" s="27"/>
      <c r="AB382" s="27"/>
      <c r="AC382" s="28"/>
      <c r="AD382" s="29"/>
      <c r="AE382" s="29"/>
      <c r="AF382" s="29"/>
      <c r="AG382" s="28"/>
      <c r="AH382" s="29"/>
      <c r="AI382" s="29"/>
      <c r="AJ382" s="29"/>
    </row>
    <row r="383">
      <c r="C383" s="23"/>
      <c r="L383" s="24"/>
      <c r="M383" s="25"/>
      <c r="N383" s="24"/>
      <c r="O383" s="26"/>
      <c r="P383" s="24"/>
      <c r="V383" s="23"/>
      <c r="W383" s="27"/>
      <c r="X383" s="27"/>
      <c r="Y383" s="28"/>
      <c r="Z383" s="27"/>
      <c r="AA383" s="27"/>
      <c r="AB383" s="27"/>
      <c r="AC383" s="28"/>
      <c r="AD383" s="29"/>
      <c r="AE383" s="29"/>
      <c r="AF383" s="29"/>
      <c r="AG383" s="28"/>
      <c r="AH383" s="29"/>
      <c r="AI383" s="29"/>
      <c r="AJ383" s="29"/>
    </row>
    <row r="384">
      <c r="C384" s="23"/>
      <c r="L384" s="24"/>
      <c r="M384" s="25"/>
      <c r="N384" s="24"/>
      <c r="O384" s="26"/>
      <c r="P384" s="24"/>
      <c r="V384" s="23"/>
      <c r="W384" s="27"/>
      <c r="X384" s="27"/>
      <c r="Y384" s="28"/>
      <c r="Z384" s="27"/>
      <c r="AA384" s="27"/>
      <c r="AB384" s="27"/>
      <c r="AC384" s="28"/>
      <c r="AD384" s="29"/>
      <c r="AE384" s="29"/>
      <c r="AF384" s="29"/>
      <c r="AG384" s="28"/>
      <c r="AH384" s="29"/>
      <c r="AI384" s="29"/>
      <c r="AJ384" s="29"/>
    </row>
    <row r="385">
      <c r="C385" s="23"/>
      <c r="L385" s="24"/>
      <c r="M385" s="25"/>
      <c r="N385" s="24"/>
      <c r="O385" s="26"/>
      <c r="P385" s="24"/>
      <c r="V385" s="23"/>
      <c r="W385" s="27"/>
      <c r="X385" s="27"/>
      <c r="Y385" s="28"/>
      <c r="Z385" s="27"/>
      <c r="AA385" s="27"/>
      <c r="AB385" s="27"/>
      <c r="AC385" s="28"/>
      <c r="AD385" s="29"/>
      <c r="AE385" s="29"/>
      <c r="AF385" s="29"/>
      <c r="AG385" s="28"/>
      <c r="AH385" s="29"/>
      <c r="AI385" s="29"/>
      <c r="AJ385" s="29"/>
    </row>
    <row r="386">
      <c r="C386" s="23"/>
      <c r="L386" s="24"/>
      <c r="M386" s="25"/>
      <c r="N386" s="24"/>
      <c r="O386" s="26"/>
      <c r="P386" s="24"/>
      <c r="V386" s="23"/>
      <c r="W386" s="27"/>
      <c r="X386" s="27"/>
      <c r="Y386" s="28"/>
      <c r="Z386" s="27"/>
      <c r="AA386" s="27"/>
      <c r="AB386" s="27"/>
      <c r="AC386" s="28"/>
      <c r="AD386" s="29"/>
      <c r="AE386" s="29"/>
      <c r="AF386" s="29"/>
      <c r="AG386" s="28"/>
      <c r="AH386" s="29"/>
      <c r="AI386" s="29"/>
      <c r="AJ386" s="29"/>
    </row>
    <row r="387">
      <c r="C387" s="23"/>
      <c r="L387" s="24"/>
      <c r="M387" s="25"/>
      <c r="N387" s="24"/>
      <c r="O387" s="26"/>
      <c r="P387" s="24"/>
      <c r="V387" s="23"/>
      <c r="W387" s="27"/>
      <c r="X387" s="27"/>
      <c r="Y387" s="28"/>
      <c r="Z387" s="27"/>
      <c r="AA387" s="27"/>
      <c r="AB387" s="27"/>
      <c r="AC387" s="28"/>
      <c r="AD387" s="29"/>
      <c r="AE387" s="29"/>
      <c r="AF387" s="29"/>
      <c r="AG387" s="28"/>
      <c r="AH387" s="29"/>
      <c r="AI387" s="29"/>
      <c r="AJ387" s="29"/>
    </row>
    <row r="388">
      <c r="C388" s="23"/>
      <c r="L388" s="24"/>
      <c r="M388" s="25"/>
      <c r="N388" s="24"/>
      <c r="O388" s="26"/>
      <c r="P388" s="24"/>
      <c r="V388" s="23"/>
      <c r="W388" s="27"/>
      <c r="X388" s="27"/>
      <c r="Y388" s="28"/>
      <c r="Z388" s="27"/>
      <c r="AA388" s="27"/>
      <c r="AB388" s="27"/>
      <c r="AC388" s="28"/>
      <c r="AD388" s="29"/>
      <c r="AE388" s="29"/>
      <c r="AF388" s="29"/>
      <c r="AG388" s="28"/>
      <c r="AH388" s="29"/>
      <c r="AI388" s="29"/>
      <c r="AJ388" s="29"/>
    </row>
    <row r="389">
      <c r="C389" s="23"/>
      <c r="L389" s="24"/>
      <c r="M389" s="25"/>
      <c r="N389" s="24"/>
      <c r="O389" s="26"/>
      <c r="P389" s="24"/>
      <c r="V389" s="23"/>
      <c r="W389" s="27"/>
      <c r="X389" s="27"/>
      <c r="Y389" s="28"/>
      <c r="Z389" s="27"/>
      <c r="AA389" s="27"/>
      <c r="AB389" s="27"/>
      <c r="AC389" s="28"/>
      <c r="AD389" s="29"/>
      <c r="AE389" s="29"/>
      <c r="AF389" s="29"/>
      <c r="AG389" s="28"/>
      <c r="AH389" s="29"/>
      <c r="AI389" s="29"/>
      <c r="AJ389" s="29"/>
    </row>
    <row r="390">
      <c r="C390" s="23"/>
      <c r="L390" s="24"/>
      <c r="M390" s="25"/>
      <c r="N390" s="24"/>
      <c r="O390" s="26"/>
      <c r="P390" s="24"/>
      <c r="V390" s="23"/>
      <c r="W390" s="27"/>
      <c r="X390" s="27"/>
      <c r="Y390" s="28"/>
      <c r="Z390" s="27"/>
      <c r="AA390" s="27"/>
      <c r="AB390" s="27"/>
      <c r="AC390" s="28"/>
      <c r="AD390" s="29"/>
      <c r="AE390" s="29"/>
      <c r="AF390" s="29"/>
      <c r="AG390" s="28"/>
      <c r="AH390" s="29"/>
      <c r="AI390" s="29"/>
      <c r="AJ390" s="29"/>
    </row>
    <row r="391">
      <c r="C391" s="23"/>
      <c r="L391" s="24"/>
      <c r="M391" s="25"/>
      <c r="N391" s="24"/>
      <c r="O391" s="26"/>
      <c r="P391" s="24"/>
      <c r="V391" s="23"/>
      <c r="W391" s="27"/>
      <c r="X391" s="27"/>
      <c r="Y391" s="28"/>
      <c r="Z391" s="27"/>
      <c r="AA391" s="27"/>
      <c r="AB391" s="27"/>
      <c r="AC391" s="28"/>
      <c r="AD391" s="29"/>
      <c r="AE391" s="29"/>
      <c r="AF391" s="29"/>
      <c r="AG391" s="28"/>
      <c r="AH391" s="29"/>
      <c r="AI391" s="29"/>
      <c r="AJ391" s="29"/>
    </row>
    <row r="392">
      <c r="C392" s="23"/>
      <c r="L392" s="24"/>
      <c r="M392" s="25"/>
      <c r="N392" s="24"/>
      <c r="O392" s="26"/>
      <c r="P392" s="24"/>
      <c r="V392" s="23"/>
      <c r="W392" s="27"/>
      <c r="X392" s="27"/>
      <c r="Y392" s="28"/>
      <c r="Z392" s="27"/>
      <c r="AA392" s="27"/>
      <c r="AB392" s="27"/>
      <c r="AC392" s="28"/>
      <c r="AD392" s="29"/>
      <c r="AE392" s="29"/>
      <c r="AF392" s="29"/>
      <c r="AG392" s="28"/>
      <c r="AH392" s="29"/>
      <c r="AI392" s="29"/>
      <c r="AJ392" s="29"/>
    </row>
    <row r="393">
      <c r="C393" s="23"/>
      <c r="L393" s="24"/>
      <c r="M393" s="25"/>
      <c r="N393" s="24"/>
      <c r="O393" s="26"/>
      <c r="P393" s="24"/>
      <c r="V393" s="23"/>
      <c r="W393" s="27"/>
      <c r="X393" s="27"/>
      <c r="Y393" s="28"/>
      <c r="Z393" s="27"/>
      <c r="AA393" s="27"/>
      <c r="AB393" s="27"/>
      <c r="AC393" s="28"/>
      <c r="AD393" s="29"/>
      <c r="AE393" s="29"/>
      <c r="AF393" s="29"/>
      <c r="AG393" s="28"/>
      <c r="AH393" s="29"/>
      <c r="AI393" s="29"/>
      <c r="AJ393" s="29"/>
    </row>
    <row r="394">
      <c r="C394" s="23"/>
      <c r="L394" s="24"/>
      <c r="M394" s="25"/>
      <c r="N394" s="24"/>
      <c r="O394" s="26"/>
      <c r="P394" s="24"/>
      <c r="V394" s="23"/>
      <c r="W394" s="27"/>
      <c r="X394" s="27"/>
      <c r="Y394" s="28"/>
      <c r="Z394" s="27"/>
      <c r="AA394" s="27"/>
      <c r="AB394" s="27"/>
      <c r="AC394" s="28"/>
      <c r="AD394" s="29"/>
      <c r="AE394" s="29"/>
      <c r="AF394" s="29"/>
      <c r="AG394" s="28"/>
      <c r="AH394" s="29"/>
      <c r="AI394" s="29"/>
      <c r="AJ394" s="29"/>
    </row>
    <row r="395">
      <c r="C395" s="23"/>
      <c r="L395" s="24"/>
      <c r="M395" s="25"/>
      <c r="N395" s="24"/>
      <c r="O395" s="26"/>
      <c r="P395" s="24"/>
      <c r="V395" s="23"/>
      <c r="W395" s="27"/>
      <c r="X395" s="27"/>
      <c r="Y395" s="28"/>
      <c r="Z395" s="27"/>
      <c r="AA395" s="27"/>
      <c r="AB395" s="27"/>
      <c r="AC395" s="28"/>
      <c r="AD395" s="29"/>
      <c r="AE395" s="29"/>
      <c r="AF395" s="29"/>
      <c r="AG395" s="28"/>
      <c r="AH395" s="29"/>
      <c r="AI395" s="29"/>
      <c r="AJ395" s="29"/>
    </row>
    <row r="396">
      <c r="C396" s="23"/>
      <c r="L396" s="24"/>
      <c r="M396" s="25"/>
      <c r="N396" s="24"/>
      <c r="O396" s="26"/>
      <c r="P396" s="24"/>
      <c r="V396" s="23"/>
      <c r="W396" s="27"/>
      <c r="X396" s="27"/>
      <c r="Y396" s="28"/>
      <c r="Z396" s="27"/>
      <c r="AA396" s="27"/>
      <c r="AB396" s="27"/>
      <c r="AC396" s="28"/>
      <c r="AD396" s="29"/>
      <c r="AE396" s="29"/>
      <c r="AF396" s="29"/>
      <c r="AG396" s="28"/>
      <c r="AH396" s="29"/>
      <c r="AI396" s="29"/>
      <c r="AJ396" s="29"/>
    </row>
    <row r="397">
      <c r="C397" s="23"/>
      <c r="L397" s="24"/>
      <c r="M397" s="25"/>
      <c r="N397" s="24"/>
      <c r="O397" s="26"/>
      <c r="P397" s="24"/>
      <c r="V397" s="23"/>
      <c r="W397" s="27"/>
      <c r="X397" s="27"/>
      <c r="Y397" s="28"/>
      <c r="Z397" s="27"/>
      <c r="AA397" s="27"/>
      <c r="AB397" s="27"/>
      <c r="AC397" s="28"/>
      <c r="AD397" s="29"/>
      <c r="AE397" s="29"/>
      <c r="AF397" s="29"/>
      <c r="AG397" s="28"/>
      <c r="AH397" s="29"/>
      <c r="AI397" s="29"/>
      <c r="AJ397" s="29"/>
    </row>
    <row r="398">
      <c r="C398" s="23"/>
      <c r="L398" s="24"/>
      <c r="M398" s="25"/>
      <c r="N398" s="24"/>
      <c r="O398" s="26"/>
      <c r="P398" s="24"/>
      <c r="V398" s="23"/>
      <c r="W398" s="27"/>
      <c r="X398" s="27"/>
      <c r="Y398" s="28"/>
      <c r="Z398" s="27"/>
      <c r="AA398" s="27"/>
      <c r="AB398" s="27"/>
      <c r="AC398" s="28"/>
      <c r="AD398" s="29"/>
      <c r="AE398" s="29"/>
      <c r="AF398" s="29"/>
      <c r="AG398" s="28"/>
      <c r="AH398" s="29"/>
      <c r="AI398" s="29"/>
      <c r="AJ398" s="29"/>
    </row>
    <row r="399">
      <c r="C399" s="23"/>
      <c r="L399" s="24"/>
      <c r="M399" s="25"/>
      <c r="N399" s="24"/>
      <c r="O399" s="26"/>
      <c r="P399" s="24"/>
      <c r="V399" s="23"/>
      <c r="W399" s="27"/>
      <c r="X399" s="27"/>
      <c r="Y399" s="28"/>
      <c r="Z399" s="27"/>
      <c r="AA399" s="27"/>
      <c r="AB399" s="27"/>
      <c r="AC399" s="28"/>
      <c r="AD399" s="29"/>
      <c r="AE399" s="29"/>
      <c r="AF399" s="29"/>
      <c r="AG399" s="28"/>
      <c r="AH399" s="29"/>
      <c r="AI399" s="29"/>
      <c r="AJ399" s="29"/>
    </row>
    <row r="400">
      <c r="C400" s="23"/>
      <c r="L400" s="24"/>
      <c r="M400" s="25"/>
      <c r="N400" s="24"/>
      <c r="O400" s="26"/>
      <c r="P400" s="24"/>
      <c r="V400" s="23"/>
      <c r="W400" s="27"/>
      <c r="X400" s="27"/>
      <c r="Y400" s="28"/>
      <c r="Z400" s="27"/>
      <c r="AA400" s="27"/>
      <c r="AB400" s="27"/>
      <c r="AC400" s="28"/>
      <c r="AD400" s="29"/>
      <c r="AE400" s="29"/>
      <c r="AF400" s="29"/>
      <c r="AG400" s="28"/>
      <c r="AH400" s="29"/>
      <c r="AI400" s="29"/>
      <c r="AJ400" s="29"/>
    </row>
    <row r="401">
      <c r="C401" s="23"/>
      <c r="L401" s="24"/>
      <c r="M401" s="25"/>
      <c r="N401" s="24"/>
      <c r="O401" s="26"/>
      <c r="P401" s="24"/>
      <c r="V401" s="23"/>
      <c r="W401" s="27"/>
      <c r="X401" s="27"/>
      <c r="Y401" s="28"/>
      <c r="Z401" s="27"/>
      <c r="AA401" s="27"/>
      <c r="AB401" s="27"/>
      <c r="AC401" s="28"/>
      <c r="AD401" s="29"/>
      <c r="AE401" s="29"/>
      <c r="AF401" s="29"/>
      <c r="AG401" s="28"/>
      <c r="AH401" s="29"/>
      <c r="AI401" s="29"/>
      <c r="AJ401" s="29"/>
    </row>
    <row r="402">
      <c r="C402" s="23"/>
      <c r="L402" s="24"/>
      <c r="M402" s="25"/>
      <c r="N402" s="24"/>
      <c r="O402" s="26"/>
      <c r="P402" s="24"/>
      <c r="V402" s="23"/>
      <c r="W402" s="27"/>
      <c r="X402" s="27"/>
      <c r="Y402" s="28"/>
      <c r="Z402" s="27"/>
      <c r="AA402" s="27"/>
      <c r="AB402" s="27"/>
      <c r="AC402" s="28"/>
      <c r="AD402" s="29"/>
      <c r="AE402" s="29"/>
      <c r="AF402" s="29"/>
      <c r="AG402" s="28"/>
      <c r="AH402" s="29"/>
      <c r="AI402" s="29"/>
      <c r="AJ402" s="29"/>
    </row>
    <row r="403">
      <c r="C403" s="23"/>
      <c r="L403" s="24"/>
      <c r="M403" s="25"/>
      <c r="N403" s="24"/>
      <c r="O403" s="26"/>
      <c r="P403" s="24"/>
      <c r="V403" s="23"/>
      <c r="W403" s="27"/>
      <c r="X403" s="27"/>
      <c r="Y403" s="28"/>
      <c r="Z403" s="27"/>
      <c r="AA403" s="27"/>
      <c r="AB403" s="27"/>
      <c r="AC403" s="28"/>
      <c r="AD403" s="29"/>
      <c r="AE403" s="29"/>
      <c r="AF403" s="29"/>
      <c r="AG403" s="28"/>
      <c r="AH403" s="29"/>
      <c r="AI403" s="29"/>
      <c r="AJ403" s="29"/>
    </row>
    <row r="404">
      <c r="C404" s="23"/>
      <c r="L404" s="24"/>
      <c r="M404" s="25"/>
      <c r="N404" s="24"/>
      <c r="O404" s="26"/>
      <c r="P404" s="24"/>
      <c r="V404" s="23"/>
      <c r="W404" s="27"/>
      <c r="X404" s="27"/>
      <c r="Y404" s="28"/>
      <c r="Z404" s="27"/>
      <c r="AA404" s="27"/>
      <c r="AB404" s="27"/>
      <c r="AC404" s="28"/>
      <c r="AD404" s="29"/>
      <c r="AE404" s="29"/>
      <c r="AF404" s="29"/>
      <c r="AG404" s="28"/>
      <c r="AH404" s="29"/>
      <c r="AI404" s="29"/>
      <c r="AJ404" s="29"/>
    </row>
    <row r="405">
      <c r="C405" s="23"/>
      <c r="L405" s="24"/>
      <c r="M405" s="25"/>
      <c r="N405" s="24"/>
      <c r="O405" s="26"/>
      <c r="P405" s="24"/>
      <c r="V405" s="23"/>
      <c r="W405" s="27"/>
      <c r="X405" s="27"/>
      <c r="Y405" s="28"/>
      <c r="Z405" s="27"/>
      <c r="AA405" s="27"/>
      <c r="AB405" s="27"/>
      <c r="AC405" s="28"/>
      <c r="AD405" s="29"/>
      <c r="AE405" s="29"/>
      <c r="AF405" s="29"/>
      <c r="AG405" s="28"/>
      <c r="AH405" s="29"/>
      <c r="AI405" s="29"/>
      <c r="AJ405" s="29"/>
    </row>
    <row r="406">
      <c r="C406" s="23"/>
      <c r="L406" s="24"/>
      <c r="M406" s="25"/>
      <c r="N406" s="24"/>
      <c r="O406" s="26"/>
      <c r="P406" s="24"/>
      <c r="V406" s="23"/>
      <c r="W406" s="27"/>
      <c r="X406" s="27"/>
      <c r="Y406" s="28"/>
      <c r="Z406" s="27"/>
      <c r="AA406" s="27"/>
      <c r="AB406" s="27"/>
      <c r="AC406" s="28"/>
      <c r="AD406" s="29"/>
      <c r="AE406" s="29"/>
      <c r="AF406" s="29"/>
      <c r="AG406" s="28"/>
      <c r="AH406" s="29"/>
      <c r="AI406" s="29"/>
      <c r="AJ406" s="29"/>
    </row>
    <row r="407">
      <c r="C407" s="23"/>
      <c r="L407" s="24"/>
      <c r="M407" s="25"/>
      <c r="N407" s="24"/>
      <c r="O407" s="26"/>
      <c r="P407" s="24"/>
      <c r="V407" s="23"/>
      <c r="W407" s="27"/>
      <c r="X407" s="27"/>
      <c r="Y407" s="28"/>
      <c r="Z407" s="27"/>
      <c r="AA407" s="27"/>
      <c r="AB407" s="27"/>
      <c r="AC407" s="28"/>
      <c r="AD407" s="29"/>
      <c r="AE407" s="29"/>
      <c r="AF407" s="29"/>
      <c r="AG407" s="28"/>
      <c r="AH407" s="29"/>
      <c r="AI407" s="29"/>
      <c r="AJ407" s="29"/>
    </row>
    <row r="408">
      <c r="C408" s="23"/>
      <c r="L408" s="24"/>
      <c r="M408" s="25"/>
      <c r="N408" s="24"/>
      <c r="O408" s="26"/>
      <c r="P408" s="24"/>
      <c r="V408" s="23"/>
      <c r="W408" s="27"/>
      <c r="X408" s="27"/>
      <c r="Y408" s="28"/>
      <c r="Z408" s="27"/>
      <c r="AA408" s="27"/>
      <c r="AB408" s="27"/>
      <c r="AC408" s="28"/>
      <c r="AD408" s="29"/>
      <c r="AE408" s="29"/>
      <c r="AF408" s="29"/>
      <c r="AG408" s="28"/>
      <c r="AH408" s="29"/>
      <c r="AI408" s="29"/>
      <c r="AJ408" s="29"/>
    </row>
    <row r="409">
      <c r="C409" s="23"/>
      <c r="L409" s="24"/>
      <c r="M409" s="25"/>
      <c r="N409" s="24"/>
      <c r="O409" s="26"/>
      <c r="P409" s="24"/>
      <c r="V409" s="23"/>
      <c r="W409" s="27"/>
      <c r="X409" s="27"/>
      <c r="Y409" s="28"/>
      <c r="Z409" s="27"/>
      <c r="AA409" s="27"/>
      <c r="AB409" s="27"/>
      <c r="AC409" s="28"/>
      <c r="AD409" s="29"/>
      <c r="AE409" s="29"/>
      <c r="AF409" s="29"/>
      <c r="AG409" s="28"/>
      <c r="AH409" s="29"/>
      <c r="AI409" s="29"/>
      <c r="AJ409" s="29"/>
    </row>
    <row r="410">
      <c r="C410" s="23"/>
      <c r="L410" s="24"/>
      <c r="M410" s="25"/>
      <c r="N410" s="24"/>
      <c r="O410" s="26"/>
      <c r="P410" s="24"/>
      <c r="V410" s="23"/>
      <c r="W410" s="27"/>
      <c r="X410" s="27"/>
      <c r="Y410" s="28"/>
      <c r="Z410" s="27"/>
      <c r="AA410" s="27"/>
      <c r="AB410" s="27"/>
      <c r="AC410" s="28"/>
      <c r="AD410" s="29"/>
      <c r="AE410" s="29"/>
      <c r="AF410" s="29"/>
      <c r="AG410" s="28"/>
      <c r="AH410" s="29"/>
      <c r="AI410" s="29"/>
      <c r="AJ410" s="29"/>
    </row>
    <row r="411">
      <c r="C411" s="23"/>
      <c r="L411" s="24"/>
      <c r="M411" s="25"/>
      <c r="N411" s="24"/>
      <c r="O411" s="26"/>
      <c r="P411" s="24"/>
      <c r="V411" s="23"/>
      <c r="W411" s="27"/>
      <c r="X411" s="27"/>
      <c r="Y411" s="28"/>
      <c r="Z411" s="27"/>
      <c r="AA411" s="27"/>
      <c r="AB411" s="27"/>
      <c r="AC411" s="28"/>
      <c r="AD411" s="29"/>
      <c r="AE411" s="29"/>
      <c r="AF411" s="29"/>
      <c r="AG411" s="28"/>
      <c r="AH411" s="29"/>
      <c r="AI411" s="29"/>
      <c r="AJ411" s="29"/>
    </row>
    <row r="412">
      <c r="C412" s="23"/>
      <c r="L412" s="24"/>
      <c r="M412" s="25"/>
      <c r="N412" s="24"/>
      <c r="O412" s="26"/>
      <c r="P412" s="24"/>
      <c r="V412" s="23"/>
      <c r="W412" s="27"/>
      <c r="X412" s="27"/>
      <c r="Y412" s="28"/>
      <c r="Z412" s="27"/>
      <c r="AA412" s="27"/>
      <c r="AB412" s="27"/>
      <c r="AC412" s="28"/>
      <c r="AD412" s="29"/>
      <c r="AE412" s="29"/>
      <c r="AF412" s="29"/>
      <c r="AG412" s="28"/>
      <c r="AH412" s="29"/>
      <c r="AI412" s="29"/>
      <c r="AJ412" s="29"/>
    </row>
    <row r="413">
      <c r="C413" s="23"/>
      <c r="L413" s="24"/>
      <c r="M413" s="25"/>
      <c r="N413" s="24"/>
      <c r="O413" s="26"/>
      <c r="P413" s="24"/>
      <c r="V413" s="23"/>
      <c r="W413" s="27"/>
      <c r="X413" s="27"/>
      <c r="Y413" s="28"/>
      <c r="Z413" s="27"/>
      <c r="AA413" s="27"/>
      <c r="AB413" s="27"/>
      <c r="AC413" s="28"/>
      <c r="AD413" s="29"/>
      <c r="AE413" s="29"/>
      <c r="AF413" s="29"/>
      <c r="AG413" s="28"/>
      <c r="AH413" s="29"/>
      <c r="AI413" s="29"/>
      <c r="AJ413" s="29"/>
    </row>
    <row r="414">
      <c r="C414" s="23"/>
      <c r="L414" s="24"/>
      <c r="M414" s="25"/>
      <c r="N414" s="24"/>
      <c r="O414" s="26"/>
      <c r="P414" s="24"/>
      <c r="V414" s="23"/>
      <c r="W414" s="27"/>
      <c r="X414" s="27"/>
      <c r="Y414" s="28"/>
      <c r="Z414" s="27"/>
      <c r="AA414" s="27"/>
      <c r="AB414" s="27"/>
      <c r="AC414" s="28"/>
      <c r="AD414" s="29"/>
      <c r="AE414" s="29"/>
      <c r="AF414" s="29"/>
      <c r="AG414" s="28"/>
      <c r="AH414" s="29"/>
      <c r="AI414" s="29"/>
      <c r="AJ414" s="29"/>
    </row>
    <row r="415">
      <c r="C415" s="23"/>
      <c r="L415" s="24"/>
      <c r="M415" s="25"/>
      <c r="N415" s="24"/>
      <c r="O415" s="26"/>
      <c r="P415" s="24"/>
      <c r="V415" s="23"/>
      <c r="W415" s="27"/>
      <c r="X415" s="27"/>
      <c r="Y415" s="28"/>
      <c r="Z415" s="27"/>
      <c r="AA415" s="27"/>
      <c r="AB415" s="27"/>
      <c r="AC415" s="28"/>
      <c r="AD415" s="29"/>
      <c r="AE415" s="29"/>
      <c r="AF415" s="29"/>
      <c r="AG415" s="28"/>
      <c r="AH415" s="29"/>
      <c r="AI415" s="29"/>
      <c r="AJ415" s="29"/>
    </row>
    <row r="416">
      <c r="C416" s="23"/>
      <c r="L416" s="24"/>
      <c r="M416" s="25"/>
      <c r="N416" s="24"/>
      <c r="O416" s="26"/>
      <c r="P416" s="24"/>
      <c r="V416" s="23"/>
      <c r="W416" s="27"/>
      <c r="X416" s="27"/>
      <c r="Y416" s="28"/>
      <c r="Z416" s="27"/>
      <c r="AA416" s="27"/>
      <c r="AB416" s="27"/>
      <c r="AC416" s="28"/>
      <c r="AD416" s="29"/>
      <c r="AE416" s="29"/>
      <c r="AF416" s="29"/>
      <c r="AG416" s="28"/>
      <c r="AH416" s="29"/>
      <c r="AI416" s="29"/>
      <c r="AJ416" s="29"/>
    </row>
    <row r="417">
      <c r="C417" s="23"/>
      <c r="L417" s="24"/>
      <c r="M417" s="25"/>
      <c r="N417" s="24"/>
      <c r="O417" s="26"/>
      <c r="P417" s="24"/>
      <c r="V417" s="23"/>
      <c r="W417" s="27"/>
      <c r="X417" s="27"/>
      <c r="Y417" s="28"/>
      <c r="Z417" s="27"/>
      <c r="AA417" s="27"/>
      <c r="AB417" s="27"/>
      <c r="AC417" s="28"/>
      <c r="AD417" s="29"/>
      <c r="AE417" s="29"/>
      <c r="AF417" s="29"/>
      <c r="AG417" s="28"/>
      <c r="AH417" s="29"/>
      <c r="AI417" s="29"/>
      <c r="AJ417" s="29"/>
    </row>
    <row r="418">
      <c r="C418" s="23"/>
      <c r="L418" s="24"/>
      <c r="M418" s="25"/>
      <c r="N418" s="24"/>
      <c r="O418" s="26"/>
      <c r="P418" s="24"/>
      <c r="V418" s="23"/>
      <c r="W418" s="27"/>
      <c r="X418" s="27"/>
      <c r="Y418" s="28"/>
      <c r="Z418" s="27"/>
      <c r="AA418" s="27"/>
      <c r="AB418" s="27"/>
      <c r="AC418" s="28"/>
      <c r="AD418" s="29"/>
      <c r="AE418" s="29"/>
      <c r="AF418" s="29"/>
      <c r="AG418" s="28"/>
      <c r="AH418" s="29"/>
      <c r="AI418" s="29"/>
      <c r="AJ418" s="29"/>
    </row>
    <row r="419">
      <c r="C419" s="23"/>
      <c r="L419" s="24"/>
      <c r="M419" s="25"/>
      <c r="N419" s="24"/>
      <c r="O419" s="26"/>
      <c r="P419" s="24"/>
      <c r="V419" s="23"/>
      <c r="W419" s="27"/>
      <c r="X419" s="27"/>
      <c r="Y419" s="28"/>
      <c r="Z419" s="27"/>
      <c r="AA419" s="27"/>
      <c r="AB419" s="27"/>
      <c r="AC419" s="28"/>
      <c r="AD419" s="29"/>
      <c r="AE419" s="29"/>
      <c r="AF419" s="29"/>
      <c r="AG419" s="28"/>
      <c r="AH419" s="29"/>
      <c r="AI419" s="29"/>
      <c r="AJ419" s="29"/>
    </row>
    <row r="420">
      <c r="C420" s="23"/>
      <c r="L420" s="24"/>
      <c r="M420" s="25"/>
      <c r="N420" s="24"/>
      <c r="O420" s="26"/>
      <c r="P420" s="24"/>
      <c r="V420" s="23"/>
      <c r="W420" s="27"/>
      <c r="X420" s="27"/>
      <c r="Y420" s="28"/>
      <c r="Z420" s="27"/>
      <c r="AA420" s="27"/>
      <c r="AB420" s="27"/>
      <c r="AC420" s="28"/>
      <c r="AD420" s="29"/>
      <c r="AE420" s="29"/>
      <c r="AF420" s="29"/>
      <c r="AG420" s="28"/>
      <c r="AH420" s="29"/>
      <c r="AI420" s="29"/>
      <c r="AJ420" s="29"/>
    </row>
    <row r="421">
      <c r="C421" s="23"/>
      <c r="L421" s="24"/>
      <c r="M421" s="25"/>
      <c r="N421" s="24"/>
      <c r="O421" s="26"/>
      <c r="P421" s="24"/>
      <c r="V421" s="23"/>
      <c r="W421" s="27"/>
      <c r="X421" s="27"/>
      <c r="Y421" s="28"/>
      <c r="Z421" s="27"/>
      <c r="AA421" s="27"/>
      <c r="AB421" s="27"/>
      <c r="AC421" s="28"/>
      <c r="AD421" s="29"/>
      <c r="AE421" s="29"/>
      <c r="AF421" s="29"/>
      <c r="AG421" s="28"/>
      <c r="AH421" s="29"/>
      <c r="AI421" s="29"/>
      <c r="AJ421" s="29"/>
    </row>
    <row r="422">
      <c r="C422" s="23"/>
      <c r="L422" s="24"/>
      <c r="M422" s="25"/>
      <c r="N422" s="24"/>
      <c r="O422" s="26"/>
      <c r="P422" s="24"/>
      <c r="V422" s="23"/>
      <c r="W422" s="27"/>
      <c r="X422" s="27"/>
      <c r="Y422" s="28"/>
      <c r="Z422" s="27"/>
      <c r="AA422" s="27"/>
      <c r="AB422" s="27"/>
      <c r="AC422" s="28"/>
      <c r="AD422" s="29"/>
      <c r="AE422" s="29"/>
      <c r="AF422" s="29"/>
      <c r="AG422" s="28"/>
      <c r="AH422" s="29"/>
      <c r="AI422" s="29"/>
      <c r="AJ422" s="29"/>
    </row>
    <row r="423">
      <c r="C423" s="23"/>
      <c r="L423" s="24"/>
      <c r="M423" s="25"/>
      <c r="N423" s="24"/>
      <c r="O423" s="26"/>
      <c r="P423" s="24"/>
      <c r="V423" s="23"/>
      <c r="W423" s="27"/>
      <c r="X423" s="27"/>
      <c r="Y423" s="28"/>
      <c r="Z423" s="27"/>
      <c r="AA423" s="27"/>
      <c r="AB423" s="27"/>
      <c r="AC423" s="28"/>
      <c r="AD423" s="29"/>
      <c r="AE423" s="29"/>
      <c r="AF423" s="29"/>
      <c r="AG423" s="28"/>
      <c r="AH423" s="29"/>
      <c r="AI423" s="29"/>
      <c r="AJ423" s="29"/>
    </row>
    <row r="424">
      <c r="C424" s="23"/>
      <c r="L424" s="24"/>
      <c r="M424" s="25"/>
      <c r="N424" s="24"/>
      <c r="O424" s="26"/>
      <c r="P424" s="24"/>
      <c r="V424" s="23"/>
      <c r="W424" s="27"/>
      <c r="X424" s="27"/>
      <c r="Y424" s="28"/>
      <c r="Z424" s="27"/>
      <c r="AA424" s="27"/>
      <c r="AB424" s="27"/>
      <c r="AC424" s="28"/>
      <c r="AD424" s="29"/>
      <c r="AE424" s="29"/>
      <c r="AF424" s="29"/>
      <c r="AG424" s="28"/>
      <c r="AH424" s="29"/>
      <c r="AI424" s="29"/>
      <c r="AJ424" s="29"/>
    </row>
    <row r="425">
      <c r="C425" s="23"/>
      <c r="L425" s="24"/>
      <c r="M425" s="25"/>
      <c r="N425" s="24"/>
      <c r="O425" s="26"/>
      <c r="P425" s="24"/>
      <c r="V425" s="23"/>
      <c r="W425" s="27"/>
      <c r="X425" s="27"/>
      <c r="Y425" s="28"/>
      <c r="Z425" s="27"/>
      <c r="AA425" s="27"/>
      <c r="AB425" s="27"/>
      <c r="AC425" s="28"/>
      <c r="AD425" s="29"/>
      <c r="AE425" s="29"/>
      <c r="AF425" s="29"/>
      <c r="AG425" s="28"/>
      <c r="AH425" s="29"/>
      <c r="AI425" s="29"/>
      <c r="AJ425" s="29"/>
    </row>
    <row r="426">
      <c r="C426" s="23"/>
      <c r="L426" s="24"/>
      <c r="M426" s="25"/>
      <c r="N426" s="24"/>
      <c r="O426" s="26"/>
      <c r="P426" s="24"/>
      <c r="V426" s="23"/>
      <c r="W426" s="27"/>
      <c r="X426" s="27"/>
      <c r="Y426" s="28"/>
      <c r="Z426" s="27"/>
      <c r="AA426" s="27"/>
      <c r="AB426" s="27"/>
      <c r="AC426" s="28"/>
      <c r="AD426" s="29"/>
      <c r="AE426" s="29"/>
      <c r="AF426" s="29"/>
      <c r="AG426" s="28"/>
      <c r="AH426" s="29"/>
      <c r="AI426" s="29"/>
      <c r="AJ426" s="29"/>
    </row>
    <row r="427">
      <c r="C427" s="23"/>
      <c r="L427" s="24"/>
      <c r="M427" s="25"/>
      <c r="N427" s="24"/>
      <c r="O427" s="26"/>
      <c r="P427" s="24"/>
      <c r="V427" s="23"/>
      <c r="W427" s="27"/>
      <c r="X427" s="27"/>
      <c r="Y427" s="28"/>
      <c r="Z427" s="27"/>
      <c r="AA427" s="27"/>
      <c r="AB427" s="27"/>
      <c r="AC427" s="28"/>
      <c r="AD427" s="29"/>
      <c r="AE427" s="29"/>
      <c r="AF427" s="29"/>
      <c r="AG427" s="28"/>
      <c r="AH427" s="29"/>
      <c r="AI427" s="29"/>
      <c r="AJ427" s="29"/>
    </row>
    <row r="428">
      <c r="C428" s="23"/>
      <c r="L428" s="24"/>
      <c r="M428" s="25"/>
      <c r="N428" s="24"/>
      <c r="O428" s="26"/>
      <c r="P428" s="24"/>
      <c r="V428" s="23"/>
      <c r="W428" s="27"/>
      <c r="X428" s="27"/>
      <c r="Y428" s="28"/>
      <c r="Z428" s="27"/>
      <c r="AA428" s="27"/>
      <c r="AB428" s="27"/>
      <c r="AC428" s="28"/>
      <c r="AD428" s="29"/>
      <c r="AE428" s="29"/>
      <c r="AF428" s="29"/>
      <c r="AG428" s="28"/>
      <c r="AH428" s="29"/>
      <c r="AI428" s="29"/>
      <c r="AJ428" s="29"/>
    </row>
    <row r="429">
      <c r="C429" s="23"/>
      <c r="L429" s="24"/>
      <c r="M429" s="25"/>
      <c r="N429" s="24"/>
      <c r="O429" s="26"/>
      <c r="P429" s="24"/>
      <c r="V429" s="23"/>
      <c r="W429" s="27"/>
      <c r="X429" s="27"/>
      <c r="Y429" s="28"/>
      <c r="Z429" s="27"/>
      <c r="AA429" s="27"/>
      <c r="AB429" s="27"/>
      <c r="AC429" s="28"/>
      <c r="AD429" s="29"/>
      <c r="AE429" s="29"/>
      <c r="AF429" s="29"/>
      <c r="AG429" s="28"/>
      <c r="AH429" s="29"/>
      <c r="AI429" s="29"/>
      <c r="AJ429" s="29"/>
    </row>
    <row r="430">
      <c r="C430" s="23"/>
      <c r="L430" s="24"/>
      <c r="M430" s="25"/>
      <c r="N430" s="24"/>
      <c r="O430" s="26"/>
      <c r="P430" s="24"/>
      <c r="V430" s="23"/>
      <c r="W430" s="27"/>
      <c r="X430" s="27"/>
      <c r="Y430" s="28"/>
      <c r="Z430" s="27"/>
      <c r="AA430" s="27"/>
      <c r="AB430" s="27"/>
      <c r="AC430" s="28"/>
      <c r="AD430" s="29"/>
      <c r="AE430" s="29"/>
      <c r="AF430" s="29"/>
      <c r="AG430" s="28"/>
      <c r="AH430" s="29"/>
      <c r="AI430" s="29"/>
      <c r="AJ430" s="29"/>
    </row>
    <row r="431">
      <c r="C431" s="23"/>
      <c r="L431" s="24"/>
      <c r="M431" s="25"/>
      <c r="N431" s="24"/>
      <c r="O431" s="26"/>
      <c r="P431" s="24"/>
      <c r="V431" s="23"/>
      <c r="W431" s="27"/>
      <c r="X431" s="27"/>
      <c r="Y431" s="28"/>
      <c r="Z431" s="27"/>
      <c r="AA431" s="27"/>
      <c r="AB431" s="27"/>
      <c r="AC431" s="28"/>
      <c r="AD431" s="29"/>
      <c r="AE431" s="29"/>
      <c r="AF431" s="29"/>
      <c r="AG431" s="28"/>
      <c r="AH431" s="29"/>
      <c r="AI431" s="29"/>
      <c r="AJ431" s="29"/>
    </row>
    <row r="432">
      <c r="C432" s="23"/>
      <c r="L432" s="24"/>
      <c r="M432" s="25"/>
      <c r="N432" s="24"/>
      <c r="O432" s="26"/>
      <c r="P432" s="24"/>
      <c r="V432" s="23"/>
      <c r="W432" s="27"/>
      <c r="X432" s="27"/>
      <c r="Y432" s="28"/>
      <c r="Z432" s="27"/>
      <c r="AA432" s="27"/>
      <c r="AB432" s="27"/>
      <c r="AC432" s="28"/>
      <c r="AD432" s="29"/>
      <c r="AE432" s="29"/>
      <c r="AF432" s="29"/>
      <c r="AG432" s="28"/>
      <c r="AH432" s="29"/>
      <c r="AI432" s="29"/>
      <c r="AJ432" s="29"/>
    </row>
    <row r="433">
      <c r="C433" s="23"/>
      <c r="L433" s="24"/>
      <c r="M433" s="25"/>
      <c r="N433" s="24"/>
      <c r="O433" s="26"/>
      <c r="P433" s="24"/>
      <c r="V433" s="23"/>
      <c r="W433" s="27"/>
      <c r="X433" s="27"/>
      <c r="Y433" s="28"/>
      <c r="Z433" s="27"/>
      <c r="AA433" s="27"/>
      <c r="AB433" s="27"/>
      <c r="AC433" s="28"/>
      <c r="AD433" s="29"/>
      <c r="AE433" s="29"/>
      <c r="AF433" s="29"/>
      <c r="AG433" s="28"/>
      <c r="AH433" s="29"/>
      <c r="AI433" s="29"/>
      <c r="AJ433" s="29"/>
    </row>
    <row r="434">
      <c r="C434" s="23"/>
      <c r="L434" s="24"/>
      <c r="M434" s="25"/>
      <c r="N434" s="24"/>
      <c r="O434" s="26"/>
      <c r="P434" s="24"/>
      <c r="V434" s="23"/>
      <c r="W434" s="27"/>
      <c r="X434" s="27"/>
      <c r="Y434" s="28"/>
      <c r="Z434" s="27"/>
      <c r="AA434" s="27"/>
      <c r="AB434" s="27"/>
      <c r="AC434" s="28"/>
      <c r="AD434" s="29"/>
      <c r="AE434" s="29"/>
      <c r="AF434" s="29"/>
      <c r="AG434" s="28"/>
      <c r="AH434" s="29"/>
      <c r="AI434" s="29"/>
      <c r="AJ434" s="29"/>
    </row>
    <row r="435">
      <c r="C435" s="23"/>
      <c r="L435" s="24"/>
      <c r="M435" s="25"/>
      <c r="N435" s="24"/>
      <c r="O435" s="26"/>
      <c r="P435" s="24"/>
      <c r="V435" s="23"/>
      <c r="W435" s="27"/>
      <c r="X435" s="27"/>
      <c r="Y435" s="28"/>
      <c r="Z435" s="27"/>
      <c r="AA435" s="27"/>
      <c r="AB435" s="27"/>
      <c r="AC435" s="28"/>
      <c r="AD435" s="29"/>
      <c r="AE435" s="29"/>
      <c r="AF435" s="29"/>
      <c r="AG435" s="28"/>
      <c r="AH435" s="29"/>
      <c r="AI435" s="29"/>
      <c r="AJ435" s="29"/>
    </row>
    <row r="436">
      <c r="C436" s="23"/>
      <c r="L436" s="24"/>
      <c r="M436" s="25"/>
      <c r="N436" s="24"/>
      <c r="O436" s="26"/>
      <c r="P436" s="24"/>
      <c r="V436" s="23"/>
      <c r="W436" s="27"/>
      <c r="X436" s="27"/>
      <c r="Y436" s="28"/>
      <c r="Z436" s="27"/>
      <c r="AA436" s="27"/>
      <c r="AB436" s="27"/>
      <c r="AC436" s="28"/>
      <c r="AD436" s="29"/>
      <c r="AE436" s="29"/>
      <c r="AF436" s="29"/>
      <c r="AG436" s="28"/>
      <c r="AH436" s="29"/>
      <c r="AI436" s="29"/>
      <c r="AJ436" s="29"/>
    </row>
    <row r="437">
      <c r="C437" s="23"/>
      <c r="L437" s="24"/>
      <c r="M437" s="25"/>
      <c r="N437" s="24"/>
      <c r="O437" s="26"/>
      <c r="P437" s="24"/>
      <c r="V437" s="23"/>
      <c r="W437" s="27"/>
      <c r="X437" s="27"/>
      <c r="Y437" s="28"/>
      <c r="Z437" s="27"/>
      <c r="AA437" s="27"/>
      <c r="AB437" s="27"/>
      <c r="AC437" s="28"/>
      <c r="AD437" s="29"/>
      <c r="AE437" s="29"/>
      <c r="AF437" s="29"/>
      <c r="AG437" s="28"/>
      <c r="AH437" s="29"/>
      <c r="AI437" s="29"/>
      <c r="AJ437" s="29"/>
    </row>
    <row r="438">
      <c r="C438" s="23"/>
      <c r="L438" s="24"/>
      <c r="M438" s="25"/>
      <c r="N438" s="24"/>
      <c r="O438" s="26"/>
      <c r="P438" s="24"/>
      <c r="V438" s="23"/>
      <c r="W438" s="27"/>
      <c r="X438" s="27"/>
      <c r="Y438" s="28"/>
      <c r="Z438" s="27"/>
      <c r="AA438" s="27"/>
      <c r="AB438" s="27"/>
      <c r="AC438" s="28"/>
      <c r="AD438" s="29"/>
      <c r="AE438" s="29"/>
      <c r="AF438" s="29"/>
      <c r="AG438" s="28"/>
      <c r="AH438" s="29"/>
      <c r="AI438" s="29"/>
      <c r="AJ438" s="29"/>
    </row>
    <row r="439">
      <c r="C439" s="23"/>
      <c r="L439" s="24"/>
      <c r="M439" s="25"/>
      <c r="N439" s="24"/>
      <c r="O439" s="26"/>
      <c r="P439" s="24"/>
      <c r="V439" s="23"/>
      <c r="W439" s="27"/>
      <c r="X439" s="27"/>
      <c r="Y439" s="28"/>
      <c r="Z439" s="27"/>
      <c r="AA439" s="27"/>
      <c r="AB439" s="27"/>
      <c r="AC439" s="28"/>
      <c r="AD439" s="29"/>
      <c r="AE439" s="29"/>
      <c r="AF439" s="29"/>
      <c r="AG439" s="28"/>
      <c r="AH439" s="29"/>
      <c r="AI439" s="29"/>
      <c r="AJ439" s="29"/>
    </row>
    <row r="440">
      <c r="C440" s="23"/>
      <c r="L440" s="24"/>
      <c r="M440" s="25"/>
      <c r="N440" s="24"/>
      <c r="O440" s="26"/>
      <c r="P440" s="24"/>
      <c r="V440" s="23"/>
      <c r="W440" s="27"/>
      <c r="X440" s="27"/>
      <c r="Y440" s="28"/>
      <c r="Z440" s="27"/>
      <c r="AA440" s="27"/>
      <c r="AB440" s="27"/>
      <c r="AC440" s="28"/>
      <c r="AD440" s="29"/>
      <c r="AE440" s="29"/>
      <c r="AF440" s="29"/>
      <c r="AG440" s="28"/>
      <c r="AH440" s="29"/>
      <c r="AI440" s="29"/>
      <c r="AJ440" s="29"/>
    </row>
    <row r="441">
      <c r="C441" s="23"/>
      <c r="L441" s="24"/>
      <c r="M441" s="25"/>
      <c r="N441" s="24"/>
      <c r="O441" s="26"/>
      <c r="P441" s="24"/>
      <c r="V441" s="23"/>
      <c r="W441" s="27"/>
      <c r="X441" s="27"/>
      <c r="Y441" s="28"/>
      <c r="Z441" s="27"/>
      <c r="AA441" s="27"/>
      <c r="AB441" s="27"/>
      <c r="AC441" s="28"/>
      <c r="AD441" s="29"/>
      <c r="AE441" s="29"/>
      <c r="AF441" s="29"/>
      <c r="AG441" s="28"/>
      <c r="AH441" s="29"/>
      <c r="AI441" s="29"/>
      <c r="AJ441" s="29"/>
    </row>
    <row r="442">
      <c r="C442" s="23"/>
      <c r="L442" s="24"/>
      <c r="M442" s="25"/>
      <c r="N442" s="24"/>
      <c r="O442" s="26"/>
      <c r="P442" s="24"/>
      <c r="V442" s="23"/>
      <c r="W442" s="27"/>
      <c r="X442" s="27"/>
      <c r="Y442" s="28"/>
      <c r="Z442" s="27"/>
      <c r="AA442" s="27"/>
      <c r="AB442" s="27"/>
      <c r="AC442" s="28"/>
      <c r="AD442" s="29"/>
      <c r="AE442" s="29"/>
      <c r="AF442" s="29"/>
      <c r="AG442" s="28"/>
      <c r="AH442" s="29"/>
      <c r="AI442" s="29"/>
      <c r="AJ442" s="29"/>
    </row>
    <row r="443">
      <c r="C443" s="23"/>
      <c r="L443" s="24"/>
      <c r="M443" s="25"/>
      <c r="N443" s="24"/>
      <c r="O443" s="26"/>
      <c r="P443" s="24"/>
      <c r="V443" s="23"/>
      <c r="W443" s="27"/>
      <c r="X443" s="27"/>
      <c r="Y443" s="28"/>
      <c r="Z443" s="27"/>
      <c r="AA443" s="27"/>
      <c r="AB443" s="27"/>
      <c r="AC443" s="28"/>
      <c r="AD443" s="29"/>
      <c r="AE443" s="29"/>
      <c r="AF443" s="29"/>
      <c r="AG443" s="28"/>
      <c r="AH443" s="29"/>
      <c r="AI443" s="29"/>
      <c r="AJ443" s="29"/>
    </row>
    <row r="444">
      <c r="C444" s="23"/>
      <c r="L444" s="24"/>
      <c r="M444" s="25"/>
      <c r="N444" s="24"/>
      <c r="O444" s="26"/>
      <c r="P444" s="24"/>
      <c r="V444" s="23"/>
      <c r="W444" s="27"/>
      <c r="X444" s="27"/>
      <c r="Y444" s="28"/>
      <c r="Z444" s="27"/>
      <c r="AA444" s="27"/>
      <c r="AB444" s="27"/>
      <c r="AC444" s="28"/>
      <c r="AD444" s="29"/>
      <c r="AE444" s="29"/>
      <c r="AF444" s="29"/>
      <c r="AG444" s="28"/>
      <c r="AH444" s="29"/>
      <c r="AI444" s="29"/>
      <c r="AJ444" s="29"/>
    </row>
    <row r="445">
      <c r="C445" s="23"/>
      <c r="L445" s="24"/>
      <c r="M445" s="25"/>
      <c r="N445" s="24"/>
      <c r="O445" s="26"/>
      <c r="P445" s="24"/>
      <c r="V445" s="23"/>
      <c r="W445" s="27"/>
      <c r="X445" s="27"/>
      <c r="Y445" s="28"/>
      <c r="Z445" s="27"/>
      <c r="AA445" s="27"/>
      <c r="AB445" s="27"/>
      <c r="AC445" s="28"/>
      <c r="AD445" s="29"/>
      <c r="AE445" s="29"/>
      <c r="AF445" s="29"/>
      <c r="AG445" s="28"/>
      <c r="AH445" s="29"/>
      <c r="AI445" s="29"/>
      <c r="AJ445" s="29"/>
    </row>
    <row r="446">
      <c r="C446" s="23"/>
      <c r="L446" s="24"/>
      <c r="M446" s="25"/>
      <c r="N446" s="24"/>
      <c r="O446" s="26"/>
      <c r="P446" s="24"/>
      <c r="V446" s="23"/>
      <c r="W446" s="27"/>
      <c r="X446" s="27"/>
      <c r="Y446" s="28"/>
      <c r="Z446" s="27"/>
      <c r="AA446" s="27"/>
      <c r="AB446" s="27"/>
      <c r="AC446" s="28"/>
      <c r="AD446" s="29"/>
      <c r="AE446" s="29"/>
      <c r="AF446" s="29"/>
      <c r="AG446" s="28"/>
      <c r="AH446" s="29"/>
      <c r="AI446" s="29"/>
      <c r="AJ446" s="29"/>
    </row>
    <row r="447">
      <c r="C447" s="23"/>
      <c r="L447" s="24"/>
      <c r="M447" s="25"/>
      <c r="N447" s="24"/>
      <c r="O447" s="26"/>
      <c r="P447" s="24"/>
      <c r="V447" s="23"/>
      <c r="W447" s="27"/>
      <c r="X447" s="27"/>
      <c r="Y447" s="28"/>
      <c r="Z447" s="27"/>
      <c r="AA447" s="27"/>
      <c r="AB447" s="27"/>
      <c r="AC447" s="28"/>
      <c r="AD447" s="29"/>
      <c r="AE447" s="29"/>
      <c r="AF447" s="29"/>
      <c r="AG447" s="28"/>
      <c r="AH447" s="29"/>
      <c r="AI447" s="29"/>
      <c r="AJ447" s="29"/>
    </row>
    <row r="448">
      <c r="C448" s="23"/>
      <c r="L448" s="24"/>
      <c r="M448" s="25"/>
      <c r="N448" s="24"/>
      <c r="O448" s="26"/>
      <c r="P448" s="24"/>
      <c r="V448" s="23"/>
      <c r="W448" s="27"/>
      <c r="X448" s="27"/>
      <c r="Y448" s="28"/>
      <c r="Z448" s="27"/>
      <c r="AA448" s="27"/>
      <c r="AB448" s="27"/>
      <c r="AC448" s="28"/>
      <c r="AD448" s="29"/>
      <c r="AE448" s="29"/>
      <c r="AF448" s="29"/>
      <c r="AG448" s="28"/>
      <c r="AH448" s="29"/>
      <c r="AI448" s="29"/>
      <c r="AJ448" s="29"/>
    </row>
    <row r="449">
      <c r="C449" s="23"/>
      <c r="L449" s="24"/>
      <c r="M449" s="25"/>
      <c r="N449" s="24"/>
      <c r="O449" s="26"/>
      <c r="P449" s="24"/>
      <c r="V449" s="23"/>
      <c r="W449" s="27"/>
      <c r="X449" s="27"/>
      <c r="Y449" s="28"/>
      <c r="Z449" s="27"/>
      <c r="AA449" s="27"/>
      <c r="AB449" s="27"/>
      <c r="AC449" s="28"/>
      <c r="AD449" s="29"/>
      <c r="AE449" s="29"/>
      <c r="AF449" s="29"/>
      <c r="AG449" s="28"/>
      <c r="AH449" s="29"/>
      <c r="AI449" s="29"/>
      <c r="AJ449" s="29"/>
    </row>
    <row r="450">
      <c r="C450" s="23"/>
      <c r="L450" s="24"/>
      <c r="M450" s="25"/>
      <c r="N450" s="24"/>
      <c r="O450" s="26"/>
      <c r="P450" s="24"/>
      <c r="V450" s="23"/>
      <c r="W450" s="27"/>
      <c r="X450" s="27"/>
      <c r="Y450" s="28"/>
      <c r="Z450" s="27"/>
      <c r="AA450" s="27"/>
      <c r="AB450" s="27"/>
      <c r="AC450" s="28"/>
      <c r="AD450" s="29"/>
      <c r="AE450" s="29"/>
      <c r="AF450" s="29"/>
      <c r="AG450" s="28"/>
      <c r="AH450" s="29"/>
      <c r="AI450" s="29"/>
      <c r="AJ450" s="29"/>
    </row>
    <row r="451">
      <c r="C451" s="23"/>
      <c r="L451" s="24"/>
      <c r="M451" s="25"/>
      <c r="N451" s="24"/>
      <c r="O451" s="26"/>
      <c r="P451" s="24"/>
      <c r="V451" s="23"/>
      <c r="W451" s="27"/>
      <c r="X451" s="27"/>
      <c r="Y451" s="28"/>
      <c r="Z451" s="27"/>
      <c r="AA451" s="27"/>
      <c r="AB451" s="27"/>
      <c r="AC451" s="28"/>
      <c r="AD451" s="29"/>
      <c r="AE451" s="29"/>
      <c r="AF451" s="29"/>
      <c r="AG451" s="28"/>
      <c r="AH451" s="29"/>
      <c r="AI451" s="29"/>
      <c r="AJ451" s="29"/>
    </row>
    <row r="452">
      <c r="C452" s="23"/>
      <c r="L452" s="24"/>
      <c r="M452" s="25"/>
      <c r="N452" s="24"/>
      <c r="O452" s="26"/>
      <c r="P452" s="24"/>
      <c r="V452" s="23"/>
      <c r="W452" s="27"/>
      <c r="X452" s="27"/>
      <c r="Y452" s="28"/>
      <c r="Z452" s="27"/>
      <c r="AA452" s="27"/>
      <c r="AB452" s="27"/>
      <c r="AC452" s="28"/>
      <c r="AD452" s="29"/>
      <c r="AE452" s="29"/>
      <c r="AF452" s="29"/>
      <c r="AG452" s="28"/>
      <c r="AH452" s="29"/>
      <c r="AI452" s="29"/>
      <c r="AJ452" s="29"/>
    </row>
    <row r="453">
      <c r="C453" s="23"/>
      <c r="L453" s="24"/>
      <c r="M453" s="25"/>
      <c r="N453" s="24"/>
      <c r="O453" s="26"/>
      <c r="P453" s="24"/>
      <c r="V453" s="23"/>
      <c r="W453" s="27"/>
      <c r="X453" s="27"/>
      <c r="Y453" s="28"/>
      <c r="Z453" s="27"/>
      <c r="AA453" s="27"/>
      <c r="AB453" s="27"/>
      <c r="AC453" s="28"/>
      <c r="AD453" s="29"/>
      <c r="AE453" s="29"/>
      <c r="AF453" s="29"/>
      <c r="AG453" s="28"/>
      <c r="AH453" s="29"/>
      <c r="AI453" s="29"/>
      <c r="AJ453" s="29"/>
    </row>
    <row r="454">
      <c r="C454" s="23"/>
      <c r="L454" s="24"/>
      <c r="M454" s="25"/>
      <c r="N454" s="24"/>
      <c r="O454" s="26"/>
      <c r="P454" s="24"/>
      <c r="V454" s="23"/>
      <c r="W454" s="27"/>
      <c r="X454" s="27"/>
      <c r="Y454" s="28"/>
      <c r="Z454" s="27"/>
      <c r="AA454" s="27"/>
      <c r="AB454" s="27"/>
      <c r="AC454" s="28"/>
      <c r="AD454" s="29"/>
      <c r="AE454" s="29"/>
      <c r="AF454" s="29"/>
      <c r="AG454" s="28"/>
      <c r="AH454" s="29"/>
      <c r="AI454" s="29"/>
      <c r="AJ454" s="29"/>
    </row>
    <row r="455">
      <c r="C455" s="23"/>
      <c r="L455" s="24"/>
      <c r="M455" s="25"/>
      <c r="N455" s="24"/>
      <c r="O455" s="26"/>
      <c r="P455" s="24"/>
      <c r="V455" s="23"/>
      <c r="W455" s="27"/>
      <c r="X455" s="27"/>
      <c r="Y455" s="28"/>
      <c r="Z455" s="27"/>
      <c r="AA455" s="27"/>
      <c r="AB455" s="27"/>
      <c r="AC455" s="28"/>
      <c r="AD455" s="29"/>
      <c r="AE455" s="29"/>
      <c r="AF455" s="29"/>
      <c r="AG455" s="28"/>
      <c r="AH455" s="29"/>
      <c r="AI455" s="29"/>
      <c r="AJ455" s="29"/>
    </row>
    <row r="456">
      <c r="C456" s="23"/>
      <c r="L456" s="24"/>
      <c r="M456" s="25"/>
      <c r="N456" s="24"/>
      <c r="O456" s="26"/>
      <c r="P456" s="24"/>
      <c r="V456" s="23"/>
      <c r="W456" s="27"/>
      <c r="X456" s="27"/>
      <c r="Y456" s="28"/>
      <c r="Z456" s="27"/>
      <c r="AA456" s="27"/>
      <c r="AB456" s="27"/>
      <c r="AC456" s="28"/>
      <c r="AD456" s="29"/>
      <c r="AE456" s="29"/>
      <c r="AF456" s="29"/>
      <c r="AG456" s="28"/>
      <c r="AH456" s="29"/>
      <c r="AI456" s="29"/>
      <c r="AJ456" s="29"/>
    </row>
    <row r="457">
      <c r="C457" s="23"/>
      <c r="L457" s="24"/>
      <c r="M457" s="25"/>
      <c r="N457" s="24"/>
      <c r="O457" s="26"/>
      <c r="P457" s="24"/>
      <c r="V457" s="23"/>
      <c r="W457" s="27"/>
      <c r="X457" s="27"/>
      <c r="Y457" s="28"/>
      <c r="Z457" s="27"/>
      <c r="AA457" s="27"/>
      <c r="AB457" s="27"/>
      <c r="AC457" s="28"/>
      <c r="AD457" s="29"/>
      <c r="AE457" s="29"/>
      <c r="AF457" s="29"/>
      <c r="AG457" s="28"/>
      <c r="AH457" s="29"/>
      <c r="AI457" s="29"/>
      <c r="AJ457" s="29"/>
    </row>
    <row r="458">
      <c r="C458" s="23"/>
      <c r="L458" s="24"/>
      <c r="M458" s="25"/>
      <c r="N458" s="24"/>
      <c r="O458" s="26"/>
      <c r="P458" s="24"/>
      <c r="V458" s="23"/>
      <c r="W458" s="27"/>
      <c r="X458" s="27"/>
      <c r="Y458" s="28"/>
      <c r="Z458" s="27"/>
      <c r="AA458" s="27"/>
      <c r="AB458" s="27"/>
      <c r="AC458" s="28"/>
      <c r="AD458" s="29"/>
      <c r="AE458" s="29"/>
      <c r="AF458" s="29"/>
      <c r="AG458" s="28"/>
      <c r="AH458" s="29"/>
      <c r="AI458" s="29"/>
      <c r="AJ458" s="29"/>
    </row>
    <row r="459">
      <c r="C459" s="23"/>
      <c r="L459" s="24"/>
      <c r="M459" s="25"/>
      <c r="N459" s="24"/>
      <c r="O459" s="26"/>
      <c r="P459" s="24"/>
      <c r="V459" s="23"/>
      <c r="W459" s="27"/>
      <c r="X459" s="27"/>
      <c r="Y459" s="28"/>
      <c r="Z459" s="27"/>
      <c r="AA459" s="27"/>
      <c r="AB459" s="27"/>
      <c r="AC459" s="28"/>
      <c r="AD459" s="29"/>
      <c r="AE459" s="29"/>
      <c r="AF459" s="29"/>
      <c r="AG459" s="28"/>
      <c r="AH459" s="29"/>
      <c r="AI459" s="29"/>
      <c r="AJ459" s="29"/>
    </row>
    <row r="460">
      <c r="C460" s="23"/>
      <c r="L460" s="24"/>
      <c r="M460" s="25"/>
      <c r="N460" s="24"/>
      <c r="O460" s="26"/>
      <c r="P460" s="24"/>
      <c r="V460" s="23"/>
      <c r="W460" s="27"/>
      <c r="X460" s="27"/>
      <c r="Y460" s="28"/>
      <c r="Z460" s="27"/>
      <c r="AA460" s="27"/>
      <c r="AB460" s="27"/>
      <c r="AC460" s="28"/>
      <c r="AD460" s="29"/>
      <c r="AE460" s="29"/>
      <c r="AF460" s="29"/>
      <c r="AG460" s="28"/>
      <c r="AH460" s="29"/>
      <c r="AI460" s="29"/>
      <c r="AJ460" s="29"/>
    </row>
    <row r="461">
      <c r="C461" s="23"/>
      <c r="L461" s="24"/>
      <c r="M461" s="25"/>
      <c r="N461" s="24"/>
      <c r="O461" s="26"/>
      <c r="P461" s="24"/>
      <c r="V461" s="23"/>
      <c r="W461" s="27"/>
      <c r="X461" s="27"/>
      <c r="Y461" s="28"/>
      <c r="Z461" s="27"/>
      <c r="AA461" s="27"/>
      <c r="AB461" s="27"/>
      <c r="AC461" s="28"/>
      <c r="AD461" s="29"/>
      <c r="AE461" s="29"/>
      <c r="AF461" s="29"/>
      <c r="AG461" s="28"/>
      <c r="AH461" s="29"/>
      <c r="AI461" s="29"/>
      <c r="AJ461" s="29"/>
    </row>
    <row r="462">
      <c r="C462" s="23"/>
      <c r="L462" s="24"/>
      <c r="M462" s="25"/>
      <c r="N462" s="24"/>
      <c r="O462" s="26"/>
      <c r="P462" s="24"/>
      <c r="V462" s="23"/>
      <c r="W462" s="27"/>
      <c r="X462" s="27"/>
      <c r="Y462" s="28"/>
      <c r="Z462" s="27"/>
      <c r="AA462" s="27"/>
      <c r="AB462" s="27"/>
      <c r="AC462" s="28"/>
      <c r="AD462" s="29"/>
      <c r="AE462" s="29"/>
      <c r="AF462" s="29"/>
      <c r="AG462" s="28"/>
      <c r="AH462" s="29"/>
      <c r="AI462" s="29"/>
      <c r="AJ462" s="29"/>
    </row>
    <row r="463">
      <c r="C463" s="23"/>
      <c r="L463" s="24"/>
      <c r="M463" s="25"/>
      <c r="N463" s="24"/>
      <c r="O463" s="26"/>
      <c r="P463" s="24"/>
      <c r="V463" s="23"/>
      <c r="W463" s="27"/>
      <c r="X463" s="27"/>
      <c r="Y463" s="28"/>
      <c r="Z463" s="27"/>
      <c r="AA463" s="27"/>
      <c r="AB463" s="27"/>
      <c r="AC463" s="28"/>
      <c r="AD463" s="29"/>
      <c r="AE463" s="29"/>
      <c r="AF463" s="29"/>
      <c r="AG463" s="28"/>
      <c r="AH463" s="29"/>
      <c r="AI463" s="29"/>
      <c r="AJ463" s="29"/>
    </row>
    <row r="464">
      <c r="C464" s="23"/>
      <c r="L464" s="24"/>
      <c r="M464" s="25"/>
      <c r="N464" s="24"/>
      <c r="O464" s="26"/>
      <c r="P464" s="24"/>
      <c r="V464" s="23"/>
      <c r="W464" s="27"/>
      <c r="X464" s="27"/>
      <c r="Y464" s="28"/>
      <c r="Z464" s="27"/>
      <c r="AA464" s="27"/>
      <c r="AB464" s="27"/>
      <c r="AC464" s="28"/>
      <c r="AD464" s="29"/>
      <c r="AE464" s="29"/>
      <c r="AF464" s="29"/>
      <c r="AG464" s="28"/>
      <c r="AH464" s="29"/>
      <c r="AI464" s="29"/>
      <c r="AJ464" s="29"/>
    </row>
    <row r="465">
      <c r="C465" s="23"/>
      <c r="L465" s="24"/>
      <c r="M465" s="25"/>
      <c r="N465" s="24"/>
      <c r="O465" s="26"/>
      <c r="P465" s="24"/>
      <c r="V465" s="23"/>
      <c r="W465" s="27"/>
      <c r="X465" s="27"/>
      <c r="Y465" s="28"/>
      <c r="Z465" s="27"/>
      <c r="AA465" s="27"/>
      <c r="AB465" s="27"/>
      <c r="AC465" s="28"/>
      <c r="AD465" s="29"/>
      <c r="AE465" s="29"/>
      <c r="AF465" s="29"/>
      <c r="AG465" s="28"/>
      <c r="AH465" s="29"/>
      <c r="AI465" s="29"/>
      <c r="AJ465" s="29"/>
    </row>
    <row r="466">
      <c r="C466" s="23"/>
      <c r="L466" s="24"/>
      <c r="M466" s="25"/>
      <c r="N466" s="24"/>
      <c r="O466" s="26"/>
      <c r="P466" s="24"/>
      <c r="V466" s="23"/>
      <c r="W466" s="27"/>
      <c r="X466" s="27"/>
      <c r="Y466" s="28"/>
      <c r="Z466" s="27"/>
      <c r="AA466" s="27"/>
      <c r="AB466" s="27"/>
      <c r="AC466" s="28"/>
      <c r="AD466" s="29"/>
      <c r="AE466" s="29"/>
      <c r="AF466" s="29"/>
      <c r="AG466" s="28"/>
      <c r="AH466" s="29"/>
      <c r="AI466" s="29"/>
      <c r="AJ466" s="29"/>
    </row>
    <row r="467">
      <c r="C467" s="23"/>
      <c r="L467" s="24"/>
      <c r="M467" s="25"/>
      <c r="N467" s="24"/>
      <c r="O467" s="26"/>
      <c r="P467" s="24"/>
      <c r="V467" s="23"/>
      <c r="W467" s="27"/>
      <c r="X467" s="27"/>
      <c r="Y467" s="28"/>
      <c r="Z467" s="27"/>
      <c r="AA467" s="27"/>
      <c r="AB467" s="27"/>
      <c r="AC467" s="28"/>
      <c r="AD467" s="29"/>
      <c r="AE467" s="29"/>
      <c r="AF467" s="29"/>
      <c r="AG467" s="28"/>
      <c r="AH467" s="29"/>
      <c r="AI467" s="29"/>
      <c r="AJ467" s="29"/>
    </row>
    <row r="468">
      <c r="C468" s="23"/>
      <c r="L468" s="24"/>
      <c r="M468" s="25"/>
      <c r="N468" s="24"/>
      <c r="O468" s="26"/>
      <c r="P468" s="24"/>
      <c r="V468" s="23"/>
      <c r="W468" s="27"/>
      <c r="X468" s="27"/>
      <c r="Y468" s="28"/>
      <c r="Z468" s="27"/>
      <c r="AA468" s="27"/>
      <c r="AB468" s="27"/>
      <c r="AC468" s="28"/>
      <c r="AD468" s="29"/>
      <c r="AE468" s="29"/>
      <c r="AF468" s="29"/>
      <c r="AG468" s="28"/>
      <c r="AH468" s="29"/>
      <c r="AI468" s="29"/>
      <c r="AJ468" s="29"/>
    </row>
    <row r="469">
      <c r="C469" s="23"/>
      <c r="L469" s="24"/>
      <c r="M469" s="25"/>
      <c r="N469" s="24"/>
      <c r="O469" s="26"/>
      <c r="P469" s="24"/>
      <c r="V469" s="23"/>
      <c r="W469" s="27"/>
      <c r="X469" s="27"/>
      <c r="Y469" s="28"/>
      <c r="Z469" s="27"/>
      <c r="AA469" s="27"/>
      <c r="AB469" s="27"/>
      <c r="AC469" s="28"/>
      <c r="AD469" s="29"/>
      <c r="AE469" s="29"/>
      <c r="AF469" s="29"/>
      <c r="AG469" s="28"/>
      <c r="AH469" s="29"/>
      <c r="AI469" s="29"/>
      <c r="AJ469" s="29"/>
    </row>
    <row r="470">
      <c r="C470" s="23"/>
      <c r="L470" s="24"/>
      <c r="M470" s="25"/>
      <c r="N470" s="24"/>
      <c r="O470" s="26"/>
      <c r="P470" s="24"/>
      <c r="V470" s="23"/>
      <c r="W470" s="27"/>
      <c r="X470" s="27"/>
      <c r="Y470" s="28"/>
      <c r="Z470" s="27"/>
      <c r="AA470" s="27"/>
      <c r="AB470" s="27"/>
      <c r="AC470" s="28"/>
      <c r="AD470" s="29"/>
      <c r="AE470" s="29"/>
      <c r="AF470" s="29"/>
      <c r="AG470" s="28"/>
      <c r="AH470" s="29"/>
      <c r="AI470" s="29"/>
      <c r="AJ470" s="29"/>
    </row>
    <row r="471">
      <c r="C471" s="23"/>
      <c r="L471" s="24"/>
      <c r="M471" s="25"/>
      <c r="N471" s="24"/>
      <c r="O471" s="26"/>
      <c r="P471" s="24"/>
      <c r="V471" s="23"/>
      <c r="W471" s="27"/>
      <c r="X471" s="27"/>
      <c r="Y471" s="28"/>
      <c r="Z471" s="27"/>
      <c r="AA471" s="27"/>
      <c r="AB471" s="27"/>
      <c r="AC471" s="28"/>
      <c r="AD471" s="29"/>
      <c r="AE471" s="29"/>
      <c r="AF471" s="29"/>
      <c r="AG471" s="28"/>
      <c r="AH471" s="29"/>
      <c r="AI471" s="29"/>
      <c r="AJ471" s="29"/>
    </row>
    <row r="472">
      <c r="C472" s="23"/>
      <c r="L472" s="24"/>
      <c r="M472" s="25"/>
      <c r="N472" s="24"/>
      <c r="O472" s="26"/>
      <c r="P472" s="24"/>
      <c r="V472" s="23"/>
      <c r="W472" s="27"/>
      <c r="X472" s="27"/>
      <c r="Y472" s="28"/>
      <c r="Z472" s="27"/>
      <c r="AA472" s="27"/>
      <c r="AB472" s="27"/>
      <c r="AC472" s="28"/>
      <c r="AD472" s="29"/>
      <c r="AE472" s="29"/>
      <c r="AF472" s="29"/>
      <c r="AG472" s="28"/>
      <c r="AH472" s="29"/>
      <c r="AI472" s="29"/>
      <c r="AJ472" s="29"/>
    </row>
    <row r="473">
      <c r="C473" s="23"/>
      <c r="L473" s="24"/>
      <c r="M473" s="25"/>
      <c r="N473" s="24"/>
      <c r="O473" s="26"/>
      <c r="P473" s="24"/>
      <c r="V473" s="23"/>
      <c r="W473" s="27"/>
      <c r="X473" s="27"/>
      <c r="Y473" s="28"/>
      <c r="Z473" s="27"/>
      <c r="AA473" s="27"/>
      <c r="AB473" s="27"/>
      <c r="AC473" s="28"/>
      <c r="AD473" s="29"/>
      <c r="AE473" s="29"/>
      <c r="AF473" s="29"/>
      <c r="AG473" s="28"/>
      <c r="AH473" s="29"/>
      <c r="AI473" s="29"/>
      <c r="AJ473" s="29"/>
    </row>
    <row r="474">
      <c r="C474" s="23"/>
      <c r="L474" s="24"/>
      <c r="M474" s="25"/>
      <c r="N474" s="24"/>
      <c r="O474" s="26"/>
      <c r="P474" s="24"/>
      <c r="V474" s="23"/>
      <c r="W474" s="27"/>
      <c r="X474" s="27"/>
      <c r="Y474" s="28"/>
      <c r="Z474" s="27"/>
      <c r="AA474" s="27"/>
      <c r="AB474" s="27"/>
      <c r="AC474" s="28"/>
      <c r="AD474" s="29"/>
      <c r="AE474" s="29"/>
      <c r="AF474" s="29"/>
      <c r="AG474" s="28"/>
      <c r="AH474" s="29"/>
      <c r="AI474" s="29"/>
      <c r="AJ474" s="29"/>
    </row>
    <row r="475">
      <c r="C475" s="23"/>
      <c r="L475" s="24"/>
      <c r="M475" s="25"/>
      <c r="N475" s="24"/>
      <c r="O475" s="26"/>
      <c r="P475" s="24"/>
      <c r="V475" s="23"/>
      <c r="W475" s="27"/>
      <c r="X475" s="27"/>
      <c r="Y475" s="28"/>
      <c r="Z475" s="27"/>
      <c r="AA475" s="27"/>
      <c r="AB475" s="27"/>
      <c r="AC475" s="28"/>
      <c r="AD475" s="29"/>
      <c r="AE475" s="29"/>
      <c r="AF475" s="29"/>
      <c r="AG475" s="28"/>
      <c r="AH475" s="29"/>
      <c r="AI475" s="29"/>
      <c r="AJ475" s="29"/>
    </row>
    <row r="476">
      <c r="C476" s="23"/>
      <c r="L476" s="24"/>
      <c r="M476" s="25"/>
      <c r="N476" s="24"/>
      <c r="O476" s="26"/>
      <c r="P476" s="24"/>
      <c r="V476" s="23"/>
      <c r="W476" s="27"/>
      <c r="X476" s="27"/>
      <c r="Y476" s="28"/>
      <c r="Z476" s="27"/>
      <c r="AA476" s="27"/>
      <c r="AB476" s="27"/>
      <c r="AC476" s="28"/>
      <c r="AD476" s="29"/>
      <c r="AE476" s="29"/>
      <c r="AF476" s="29"/>
      <c r="AG476" s="28"/>
      <c r="AH476" s="29"/>
      <c r="AI476" s="29"/>
      <c r="AJ476" s="29"/>
    </row>
    <row r="477">
      <c r="C477" s="23"/>
      <c r="L477" s="24"/>
      <c r="M477" s="25"/>
      <c r="N477" s="24"/>
      <c r="O477" s="26"/>
      <c r="P477" s="24"/>
      <c r="V477" s="23"/>
      <c r="W477" s="27"/>
      <c r="X477" s="27"/>
      <c r="Y477" s="28"/>
      <c r="Z477" s="27"/>
      <c r="AA477" s="27"/>
      <c r="AB477" s="27"/>
      <c r="AC477" s="28"/>
      <c r="AD477" s="29"/>
      <c r="AE477" s="29"/>
      <c r="AF477" s="29"/>
      <c r="AG477" s="28"/>
      <c r="AH477" s="29"/>
      <c r="AI477" s="29"/>
      <c r="AJ477" s="29"/>
    </row>
    <row r="478">
      <c r="C478" s="23"/>
      <c r="L478" s="24"/>
      <c r="M478" s="25"/>
      <c r="N478" s="24"/>
      <c r="O478" s="26"/>
      <c r="P478" s="24"/>
      <c r="V478" s="23"/>
      <c r="W478" s="27"/>
      <c r="X478" s="27"/>
      <c r="Y478" s="28"/>
      <c r="Z478" s="27"/>
      <c r="AA478" s="27"/>
      <c r="AB478" s="27"/>
      <c r="AC478" s="28"/>
      <c r="AD478" s="29"/>
      <c r="AE478" s="29"/>
      <c r="AF478" s="29"/>
      <c r="AG478" s="28"/>
      <c r="AH478" s="29"/>
      <c r="AI478" s="29"/>
      <c r="AJ478" s="29"/>
    </row>
    <row r="479">
      <c r="C479" s="23"/>
      <c r="L479" s="24"/>
      <c r="M479" s="25"/>
      <c r="N479" s="24"/>
      <c r="O479" s="26"/>
      <c r="P479" s="24"/>
      <c r="V479" s="23"/>
      <c r="W479" s="27"/>
      <c r="X479" s="27"/>
      <c r="Y479" s="28"/>
      <c r="Z479" s="27"/>
      <c r="AA479" s="27"/>
      <c r="AB479" s="27"/>
      <c r="AC479" s="28"/>
      <c r="AD479" s="29"/>
      <c r="AE479" s="29"/>
      <c r="AF479" s="29"/>
      <c r="AG479" s="28"/>
      <c r="AH479" s="29"/>
      <c r="AI479" s="29"/>
      <c r="AJ479" s="29"/>
    </row>
    <row r="480">
      <c r="C480" s="23"/>
      <c r="L480" s="24"/>
      <c r="M480" s="25"/>
      <c r="N480" s="24"/>
      <c r="O480" s="26"/>
      <c r="P480" s="24"/>
      <c r="V480" s="23"/>
      <c r="W480" s="27"/>
      <c r="X480" s="27"/>
      <c r="Y480" s="28"/>
      <c r="Z480" s="27"/>
      <c r="AA480" s="27"/>
      <c r="AB480" s="27"/>
      <c r="AC480" s="28"/>
      <c r="AD480" s="29"/>
      <c r="AE480" s="29"/>
      <c r="AF480" s="29"/>
      <c r="AG480" s="28"/>
      <c r="AH480" s="29"/>
      <c r="AI480" s="29"/>
      <c r="AJ480" s="29"/>
    </row>
    <row r="481">
      <c r="C481" s="23"/>
      <c r="L481" s="24"/>
      <c r="M481" s="25"/>
      <c r="N481" s="24"/>
      <c r="O481" s="26"/>
      <c r="P481" s="24"/>
      <c r="V481" s="23"/>
      <c r="W481" s="27"/>
      <c r="X481" s="27"/>
      <c r="Y481" s="28"/>
      <c r="Z481" s="27"/>
      <c r="AA481" s="27"/>
      <c r="AB481" s="27"/>
      <c r="AC481" s="28"/>
      <c r="AD481" s="29"/>
      <c r="AE481" s="29"/>
      <c r="AF481" s="29"/>
      <c r="AG481" s="28"/>
      <c r="AH481" s="29"/>
      <c r="AI481" s="29"/>
      <c r="AJ481" s="29"/>
    </row>
    <row r="482">
      <c r="C482" s="23"/>
      <c r="L482" s="24"/>
      <c r="M482" s="25"/>
      <c r="N482" s="24"/>
      <c r="O482" s="26"/>
      <c r="P482" s="24"/>
      <c r="V482" s="23"/>
      <c r="W482" s="27"/>
      <c r="X482" s="27"/>
      <c r="Y482" s="28"/>
      <c r="Z482" s="27"/>
      <c r="AA482" s="27"/>
      <c r="AB482" s="27"/>
      <c r="AC482" s="28"/>
      <c r="AD482" s="29"/>
      <c r="AE482" s="29"/>
      <c r="AF482" s="29"/>
      <c r="AG482" s="28"/>
      <c r="AH482" s="29"/>
      <c r="AI482" s="29"/>
      <c r="AJ482" s="29"/>
    </row>
    <row r="483">
      <c r="C483" s="23"/>
      <c r="L483" s="24"/>
      <c r="M483" s="25"/>
      <c r="N483" s="24"/>
      <c r="O483" s="26"/>
      <c r="P483" s="24"/>
      <c r="V483" s="23"/>
      <c r="W483" s="27"/>
      <c r="X483" s="27"/>
      <c r="Y483" s="28"/>
      <c r="Z483" s="27"/>
      <c r="AA483" s="27"/>
      <c r="AB483" s="27"/>
      <c r="AC483" s="28"/>
      <c r="AD483" s="29"/>
      <c r="AE483" s="29"/>
      <c r="AF483" s="29"/>
      <c r="AG483" s="28"/>
      <c r="AH483" s="29"/>
      <c r="AI483" s="29"/>
      <c r="AJ483" s="29"/>
    </row>
    <row r="484">
      <c r="C484" s="23"/>
      <c r="L484" s="24"/>
      <c r="M484" s="25"/>
      <c r="N484" s="24"/>
      <c r="O484" s="26"/>
      <c r="P484" s="24"/>
      <c r="V484" s="23"/>
      <c r="W484" s="27"/>
      <c r="X484" s="27"/>
      <c r="Y484" s="28"/>
      <c r="Z484" s="27"/>
      <c r="AA484" s="27"/>
      <c r="AB484" s="27"/>
      <c r="AC484" s="28"/>
      <c r="AD484" s="29"/>
      <c r="AE484" s="29"/>
      <c r="AF484" s="29"/>
      <c r="AG484" s="28"/>
      <c r="AH484" s="29"/>
      <c r="AI484" s="29"/>
      <c r="AJ484" s="29"/>
    </row>
    <row r="485">
      <c r="C485" s="23"/>
      <c r="L485" s="24"/>
      <c r="M485" s="25"/>
      <c r="N485" s="24"/>
      <c r="O485" s="26"/>
      <c r="P485" s="24"/>
      <c r="V485" s="23"/>
      <c r="W485" s="27"/>
      <c r="X485" s="27"/>
      <c r="Y485" s="28"/>
      <c r="Z485" s="27"/>
      <c r="AA485" s="27"/>
      <c r="AB485" s="27"/>
      <c r="AC485" s="28"/>
      <c r="AD485" s="29"/>
      <c r="AE485" s="29"/>
      <c r="AF485" s="29"/>
      <c r="AG485" s="28"/>
      <c r="AH485" s="29"/>
      <c r="AI485" s="29"/>
      <c r="AJ485" s="29"/>
    </row>
    <row r="486">
      <c r="C486" s="23"/>
      <c r="L486" s="24"/>
      <c r="M486" s="25"/>
      <c r="N486" s="24"/>
      <c r="O486" s="26"/>
      <c r="P486" s="24"/>
      <c r="V486" s="23"/>
      <c r="W486" s="27"/>
      <c r="X486" s="27"/>
      <c r="Y486" s="28"/>
      <c r="Z486" s="27"/>
      <c r="AA486" s="27"/>
      <c r="AB486" s="27"/>
      <c r="AC486" s="28"/>
      <c r="AD486" s="29"/>
      <c r="AE486" s="29"/>
      <c r="AF486" s="29"/>
      <c r="AG486" s="28"/>
      <c r="AH486" s="29"/>
      <c r="AI486" s="29"/>
      <c r="AJ486" s="29"/>
    </row>
    <row r="487">
      <c r="C487" s="23"/>
      <c r="L487" s="24"/>
      <c r="M487" s="25"/>
      <c r="N487" s="24"/>
      <c r="O487" s="26"/>
      <c r="P487" s="24"/>
      <c r="V487" s="23"/>
      <c r="W487" s="27"/>
      <c r="X487" s="27"/>
      <c r="Y487" s="28"/>
      <c r="Z487" s="27"/>
      <c r="AA487" s="27"/>
      <c r="AB487" s="27"/>
      <c r="AC487" s="28"/>
      <c r="AD487" s="29"/>
      <c r="AE487" s="29"/>
      <c r="AF487" s="29"/>
      <c r="AG487" s="28"/>
      <c r="AH487" s="29"/>
      <c r="AI487" s="29"/>
      <c r="AJ487" s="29"/>
    </row>
    <row r="488">
      <c r="C488" s="23"/>
      <c r="L488" s="24"/>
      <c r="M488" s="25"/>
      <c r="N488" s="24"/>
      <c r="O488" s="26"/>
      <c r="P488" s="24"/>
      <c r="V488" s="23"/>
      <c r="W488" s="27"/>
      <c r="X488" s="27"/>
      <c r="Y488" s="28"/>
      <c r="Z488" s="27"/>
      <c r="AA488" s="27"/>
      <c r="AB488" s="27"/>
      <c r="AC488" s="28"/>
      <c r="AD488" s="29"/>
      <c r="AE488" s="29"/>
      <c r="AF488" s="29"/>
      <c r="AG488" s="28"/>
      <c r="AH488" s="29"/>
      <c r="AI488" s="29"/>
      <c r="AJ488" s="29"/>
    </row>
    <row r="489">
      <c r="C489" s="23"/>
      <c r="L489" s="24"/>
      <c r="M489" s="25"/>
      <c r="N489" s="24"/>
      <c r="O489" s="26"/>
      <c r="P489" s="24"/>
      <c r="V489" s="23"/>
      <c r="W489" s="27"/>
      <c r="X489" s="27"/>
      <c r="Y489" s="28"/>
      <c r="Z489" s="27"/>
      <c r="AA489" s="27"/>
      <c r="AB489" s="27"/>
      <c r="AC489" s="28"/>
      <c r="AD489" s="29"/>
      <c r="AE489" s="29"/>
      <c r="AF489" s="29"/>
      <c r="AG489" s="28"/>
      <c r="AH489" s="29"/>
      <c r="AI489" s="29"/>
      <c r="AJ489" s="29"/>
    </row>
    <row r="490">
      <c r="C490" s="23"/>
      <c r="L490" s="24"/>
      <c r="M490" s="25"/>
      <c r="N490" s="24"/>
      <c r="O490" s="26"/>
      <c r="P490" s="24"/>
      <c r="V490" s="23"/>
      <c r="W490" s="27"/>
      <c r="X490" s="27"/>
      <c r="Y490" s="28"/>
      <c r="Z490" s="27"/>
      <c r="AA490" s="27"/>
      <c r="AB490" s="27"/>
      <c r="AC490" s="28"/>
      <c r="AD490" s="29"/>
      <c r="AE490" s="29"/>
      <c r="AF490" s="29"/>
      <c r="AG490" s="28"/>
      <c r="AH490" s="29"/>
      <c r="AI490" s="29"/>
      <c r="AJ490" s="29"/>
    </row>
    <row r="491">
      <c r="C491" s="23"/>
      <c r="L491" s="24"/>
      <c r="M491" s="25"/>
      <c r="N491" s="24"/>
      <c r="O491" s="26"/>
      <c r="P491" s="24"/>
      <c r="V491" s="23"/>
      <c r="W491" s="27"/>
      <c r="X491" s="27"/>
      <c r="Y491" s="28"/>
      <c r="Z491" s="27"/>
      <c r="AA491" s="27"/>
      <c r="AB491" s="27"/>
      <c r="AC491" s="28"/>
      <c r="AD491" s="29"/>
      <c r="AE491" s="29"/>
      <c r="AF491" s="29"/>
      <c r="AG491" s="28"/>
      <c r="AH491" s="29"/>
      <c r="AI491" s="29"/>
      <c r="AJ491" s="29"/>
    </row>
    <row r="492">
      <c r="C492" s="23"/>
      <c r="L492" s="24"/>
      <c r="M492" s="25"/>
      <c r="N492" s="24"/>
      <c r="O492" s="26"/>
      <c r="P492" s="24"/>
      <c r="V492" s="23"/>
      <c r="W492" s="27"/>
      <c r="X492" s="27"/>
      <c r="Y492" s="28"/>
      <c r="Z492" s="27"/>
      <c r="AA492" s="27"/>
      <c r="AB492" s="27"/>
      <c r="AC492" s="28"/>
      <c r="AD492" s="29"/>
      <c r="AE492" s="29"/>
      <c r="AF492" s="29"/>
      <c r="AG492" s="28"/>
      <c r="AH492" s="29"/>
      <c r="AI492" s="29"/>
      <c r="AJ492" s="29"/>
    </row>
    <row r="493">
      <c r="C493" s="23"/>
      <c r="L493" s="24"/>
      <c r="M493" s="25"/>
      <c r="N493" s="24"/>
      <c r="O493" s="26"/>
      <c r="P493" s="24"/>
      <c r="V493" s="23"/>
      <c r="W493" s="27"/>
      <c r="X493" s="27"/>
      <c r="Y493" s="28"/>
      <c r="Z493" s="27"/>
      <c r="AA493" s="27"/>
      <c r="AB493" s="27"/>
      <c r="AC493" s="28"/>
      <c r="AD493" s="29"/>
      <c r="AE493" s="29"/>
      <c r="AF493" s="29"/>
      <c r="AG493" s="28"/>
      <c r="AH493" s="29"/>
      <c r="AI493" s="29"/>
      <c r="AJ493" s="29"/>
    </row>
    <row r="494">
      <c r="C494" s="23"/>
      <c r="L494" s="24"/>
      <c r="M494" s="25"/>
      <c r="N494" s="24"/>
      <c r="O494" s="26"/>
      <c r="P494" s="24"/>
      <c r="V494" s="23"/>
      <c r="W494" s="27"/>
      <c r="X494" s="27"/>
      <c r="Y494" s="28"/>
      <c r="Z494" s="27"/>
      <c r="AA494" s="27"/>
      <c r="AB494" s="27"/>
      <c r="AC494" s="28"/>
      <c r="AD494" s="29"/>
      <c r="AE494" s="29"/>
      <c r="AF494" s="29"/>
      <c r="AG494" s="28"/>
      <c r="AH494" s="29"/>
      <c r="AI494" s="29"/>
      <c r="AJ494" s="29"/>
    </row>
    <row r="495">
      <c r="C495" s="23"/>
      <c r="L495" s="24"/>
      <c r="M495" s="25"/>
      <c r="N495" s="24"/>
      <c r="O495" s="26"/>
      <c r="P495" s="24"/>
      <c r="V495" s="23"/>
      <c r="W495" s="27"/>
      <c r="X495" s="27"/>
      <c r="Y495" s="28"/>
      <c r="Z495" s="27"/>
      <c r="AA495" s="27"/>
      <c r="AB495" s="27"/>
      <c r="AC495" s="28"/>
      <c r="AD495" s="29"/>
      <c r="AE495" s="29"/>
      <c r="AF495" s="29"/>
      <c r="AG495" s="28"/>
      <c r="AH495" s="29"/>
      <c r="AI495" s="29"/>
      <c r="AJ495" s="29"/>
    </row>
    <row r="496">
      <c r="C496" s="23"/>
      <c r="L496" s="24"/>
      <c r="M496" s="25"/>
      <c r="N496" s="24"/>
      <c r="O496" s="26"/>
      <c r="P496" s="24"/>
      <c r="V496" s="23"/>
      <c r="W496" s="27"/>
      <c r="X496" s="27"/>
      <c r="Y496" s="28"/>
      <c r="Z496" s="27"/>
      <c r="AA496" s="27"/>
      <c r="AB496" s="27"/>
      <c r="AC496" s="28"/>
      <c r="AD496" s="29"/>
      <c r="AE496" s="29"/>
      <c r="AF496" s="29"/>
      <c r="AG496" s="28"/>
      <c r="AH496" s="29"/>
      <c r="AI496" s="29"/>
      <c r="AJ496" s="29"/>
    </row>
    <row r="497">
      <c r="C497" s="23"/>
      <c r="L497" s="24"/>
      <c r="M497" s="25"/>
      <c r="N497" s="24"/>
      <c r="O497" s="26"/>
      <c r="P497" s="24"/>
      <c r="V497" s="23"/>
      <c r="W497" s="27"/>
      <c r="X497" s="27"/>
      <c r="Y497" s="28"/>
      <c r="Z497" s="27"/>
      <c r="AA497" s="27"/>
      <c r="AB497" s="27"/>
      <c r="AC497" s="28"/>
      <c r="AD497" s="29"/>
      <c r="AE497" s="29"/>
      <c r="AF497" s="29"/>
      <c r="AG497" s="28"/>
      <c r="AH497" s="29"/>
      <c r="AI497" s="29"/>
      <c r="AJ497" s="29"/>
    </row>
    <row r="498">
      <c r="C498" s="23"/>
      <c r="L498" s="24"/>
      <c r="M498" s="25"/>
      <c r="N498" s="24"/>
      <c r="O498" s="26"/>
      <c r="P498" s="24"/>
      <c r="V498" s="23"/>
      <c r="W498" s="27"/>
      <c r="X498" s="27"/>
      <c r="Y498" s="28"/>
      <c r="Z498" s="27"/>
      <c r="AA498" s="27"/>
      <c r="AB498" s="27"/>
      <c r="AC498" s="28"/>
      <c r="AD498" s="29"/>
      <c r="AE498" s="29"/>
      <c r="AF498" s="29"/>
      <c r="AG498" s="28"/>
      <c r="AH498" s="29"/>
      <c r="AI498" s="29"/>
      <c r="AJ498" s="29"/>
    </row>
    <row r="499">
      <c r="C499" s="23"/>
      <c r="L499" s="24"/>
      <c r="M499" s="25"/>
      <c r="N499" s="24"/>
      <c r="O499" s="26"/>
      <c r="P499" s="24"/>
      <c r="V499" s="23"/>
      <c r="W499" s="27"/>
      <c r="X499" s="27"/>
      <c r="Y499" s="28"/>
      <c r="Z499" s="27"/>
      <c r="AA499" s="27"/>
      <c r="AB499" s="27"/>
      <c r="AC499" s="28"/>
      <c r="AD499" s="29"/>
      <c r="AE499" s="29"/>
      <c r="AF499" s="29"/>
      <c r="AG499" s="28"/>
      <c r="AH499" s="29"/>
      <c r="AI499" s="29"/>
      <c r="AJ499" s="29"/>
    </row>
    <row r="500">
      <c r="C500" s="23"/>
      <c r="L500" s="24"/>
      <c r="M500" s="25"/>
      <c r="N500" s="24"/>
      <c r="O500" s="26"/>
      <c r="P500" s="24"/>
      <c r="V500" s="23"/>
      <c r="W500" s="27"/>
      <c r="X500" s="27"/>
      <c r="Y500" s="28"/>
      <c r="Z500" s="27"/>
      <c r="AA500" s="27"/>
      <c r="AB500" s="27"/>
      <c r="AC500" s="28"/>
      <c r="AD500" s="29"/>
      <c r="AE500" s="29"/>
      <c r="AF500" s="29"/>
      <c r="AG500" s="28"/>
      <c r="AH500" s="29"/>
      <c r="AI500" s="29"/>
      <c r="AJ500" s="29"/>
    </row>
    <row r="501">
      <c r="C501" s="23"/>
      <c r="L501" s="24"/>
      <c r="M501" s="25"/>
      <c r="N501" s="24"/>
      <c r="O501" s="26"/>
      <c r="P501" s="24"/>
      <c r="V501" s="23"/>
      <c r="W501" s="27"/>
      <c r="X501" s="27"/>
      <c r="Y501" s="28"/>
      <c r="Z501" s="27"/>
      <c r="AA501" s="27"/>
      <c r="AB501" s="27"/>
      <c r="AC501" s="28"/>
      <c r="AD501" s="29"/>
      <c r="AE501" s="29"/>
      <c r="AF501" s="29"/>
      <c r="AG501" s="28"/>
      <c r="AH501" s="29"/>
      <c r="AI501" s="29"/>
      <c r="AJ501" s="29"/>
    </row>
    <row r="502">
      <c r="C502" s="23"/>
      <c r="L502" s="24"/>
      <c r="M502" s="25"/>
      <c r="N502" s="24"/>
      <c r="O502" s="26"/>
      <c r="P502" s="24"/>
      <c r="V502" s="23"/>
      <c r="W502" s="27"/>
      <c r="X502" s="27"/>
      <c r="Y502" s="28"/>
      <c r="Z502" s="27"/>
      <c r="AA502" s="27"/>
      <c r="AB502" s="27"/>
      <c r="AC502" s="28"/>
      <c r="AD502" s="29"/>
      <c r="AE502" s="29"/>
      <c r="AF502" s="29"/>
      <c r="AG502" s="28"/>
      <c r="AH502" s="29"/>
      <c r="AI502" s="29"/>
      <c r="AJ502" s="29"/>
    </row>
    <row r="503">
      <c r="C503" s="23"/>
      <c r="L503" s="24"/>
      <c r="M503" s="25"/>
      <c r="N503" s="24"/>
      <c r="O503" s="26"/>
      <c r="P503" s="24"/>
      <c r="V503" s="23"/>
      <c r="W503" s="27"/>
      <c r="X503" s="27"/>
      <c r="Y503" s="28"/>
      <c r="Z503" s="27"/>
      <c r="AA503" s="27"/>
      <c r="AB503" s="27"/>
      <c r="AC503" s="28"/>
      <c r="AD503" s="29"/>
      <c r="AE503" s="29"/>
      <c r="AF503" s="29"/>
      <c r="AG503" s="28"/>
      <c r="AH503" s="29"/>
      <c r="AI503" s="29"/>
      <c r="AJ503" s="29"/>
    </row>
    <row r="504">
      <c r="C504" s="23"/>
      <c r="L504" s="24"/>
      <c r="M504" s="25"/>
      <c r="N504" s="24"/>
      <c r="O504" s="26"/>
      <c r="P504" s="24"/>
      <c r="V504" s="23"/>
      <c r="W504" s="27"/>
      <c r="X504" s="27"/>
      <c r="Y504" s="28"/>
      <c r="Z504" s="27"/>
      <c r="AA504" s="27"/>
      <c r="AB504" s="27"/>
      <c r="AC504" s="28"/>
      <c r="AD504" s="29"/>
      <c r="AE504" s="29"/>
      <c r="AF504" s="29"/>
      <c r="AG504" s="28"/>
      <c r="AH504" s="29"/>
      <c r="AI504" s="29"/>
      <c r="AJ504" s="29"/>
    </row>
    <row r="505">
      <c r="C505" s="23"/>
      <c r="L505" s="24"/>
      <c r="M505" s="25"/>
      <c r="N505" s="24"/>
      <c r="O505" s="26"/>
      <c r="P505" s="24"/>
      <c r="V505" s="23"/>
      <c r="W505" s="27"/>
      <c r="X505" s="27"/>
      <c r="Y505" s="28"/>
      <c r="Z505" s="27"/>
      <c r="AA505" s="27"/>
      <c r="AB505" s="27"/>
      <c r="AC505" s="28"/>
      <c r="AD505" s="29"/>
      <c r="AE505" s="29"/>
      <c r="AF505" s="29"/>
      <c r="AG505" s="28"/>
      <c r="AH505" s="29"/>
      <c r="AI505" s="29"/>
      <c r="AJ505" s="29"/>
    </row>
    <row r="506">
      <c r="C506" s="23"/>
      <c r="L506" s="24"/>
      <c r="M506" s="25"/>
      <c r="N506" s="24"/>
      <c r="O506" s="26"/>
      <c r="P506" s="24"/>
      <c r="V506" s="23"/>
      <c r="W506" s="27"/>
      <c r="X506" s="27"/>
      <c r="Y506" s="28"/>
      <c r="Z506" s="27"/>
      <c r="AA506" s="27"/>
      <c r="AB506" s="27"/>
      <c r="AC506" s="28"/>
      <c r="AD506" s="29"/>
      <c r="AE506" s="29"/>
      <c r="AF506" s="29"/>
      <c r="AG506" s="28"/>
      <c r="AH506" s="29"/>
      <c r="AI506" s="29"/>
      <c r="AJ506" s="29"/>
    </row>
    <row r="507">
      <c r="C507" s="23"/>
      <c r="L507" s="24"/>
      <c r="M507" s="25"/>
      <c r="N507" s="24"/>
      <c r="O507" s="26"/>
      <c r="P507" s="24"/>
      <c r="V507" s="23"/>
      <c r="W507" s="27"/>
      <c r="X507" s="27"/>
      <c r="Y507" s="28"/>
      <c r="Z507" s="27"/>
      <c r="AA507" s="27"/>
      <c r="AB507" s="27"/>
      <c r="AC507" s="28"/>
      <c r="AD507" s="29"/>
      <c r="AE507" s="29"/>
      <c r="AF507" s="29"/>
      <c r="AG507" s="28"/>
      <c r="AH507" s="29"/>
      <c r="AI507" s="29"/>
      <c r="AJ507" s="29"/>
    </row>
    <row r="508">
      <c r="C508" s="23"/>
      <c r="L508" s="24"/>
      <c r="M508" s="25"/>
      <c r="N508" s="24"/>
      <c r="O508" s="26"/>
      <c r="P508" s="24"/>
      <c r="V508" s="23"/>
      <c r="W508" s="27"/>
      <c r="X508" s="27"/>
      <c r="Y508" s="28"/>
      <c r="Z508" s="27"/>
      <c r="AA508" s="27"/>
      <c r="AB508" s="27"/>
      <c r="AC508" s="28"/>
      <c r="AD508" s="29"/>
      <c r="AE508" s="29"/>
      <c r="AF508" s="29"/>
      <c r="AG508" s="28"/>
      <c r="AH508" s="29"/>
      <c r="AI508" s="29"/>
      <c r="AJ508" s="29"/>
    </row>
    <row r="509">
      <c r="C509" s="23"/>
      <c r="L509" s="24"/>
      <c r="M509" s="25"/>
      <c r="N509" s="24"/>
      <c r="O509" s="26"/>
      <c r="P509" s="24"/>
      <c r="V509" s="23"/>
      <c r="W509" s="27"/>
      <c r="X509" s="27"/>
      <c r="Y509" s="28"/>
      <c r="Z509" s="27"/>
      <c r="AA509" s="27"/>
      <c r="AB509" s="27"/>
      <c r="AC509" s="28"/>
      <c r="AD509" s="29"/>
      <c r="AE509" s="29"/>
      <c r="AF509" s="29"/>
      <c r="AG509" s="28"/>
      <c r="AH509" s="29"/>
      <c r="AI509" s="29"/>
      <c r="AJ509" s="29"/>
    </row>
    <row r="510">
      <c r="C510" s="23"/>
      <c r="L510" s="24"/>
      <c r="M510" s="25"/>
      <c r="N510" s="24"/>
      <c r="O510" s="26"/>
      <c r="P510" s="24"/>
      <c r="V510" s="23"/>
      <c r="W510" s="27"/>
      <c r="X510" s="27"/>
      <c r="Y510" s="28"/>
      <c r="Z510" s="27"/>
      <c r="AA510" s="27"/>
      <c r="AB510" s="27"/>
      <c r="AC510" s="28"/>
      <c r="AD510" s="29"/>
      <c r="AE510" s="29"/>
      <c r="AF510" s="29"/>
      <c r="AG510" s="28"/>
      <c r="AH510" s="29"/>
      <c r="AI510" s="29"/>
      <c r="AJ510" s="29"/>
    </row>
    <row r="511">
      <c r="C511" s="23"/>
      <c r="L511" s="24"/>
      <c r="M511" s="25"/>
      <c r="N511" s="24"/>
      <c r="O511" s="26"/>
      <c r="P511" s="24"/>
      <c r="V511" s="23"/>
      <c r="W511" s="27"/>
      <c r="X511" s="27"/>
      <c r="Y511" s="28"/>
      <c r="Z511" s="27"/>
      <c r="AA511" s="27"/>
      <c r="AB511" s="27"/>
      <c r="AC511" s="28"/>
      <c r="AD511" s="29"/>
      <c r="AE511" s="29"/>
      <c r="AF511" s="29"/>
      <c r="AG511" s="28"/>
      <c r="AH511" s="29"/>
      <c r="AI511" s="29"/>
      <c r="AJ511" s="29"/>
    </row>
    <row r="512">
      <c r="C512" s="23"/>
      <c r="L512" s="24"/>
      <c r="M512" s="25"/>
      <c r="N512" s="24"/>
      <c r="O512" s="26"/>
      <c r="P512" s="24"/>
      <c r="V512" s="23"/>
      <c r="W512" s="27"/>
      <c r="X512" s="27"/>
      <c r="Y512" s="28"/>
      <c r="Z512" s="27"/>
      <c r="AA512" s="27"/>
      <c r="AB512" s="27"/>
      <c r="AC512" s="28"/>
      <c r="AD512" s="29"/>
      <c r="AE512" s="29"/>
      <c r="AF512" s="29"/>
      <c r="AG512" s="28"/>
      <c r="AH512" s="29"/>
      <c r="AI512" s="29"/>
      <c r="AJ512" s="29"/>
    </row>
    <row r="513">
      <c r="C513" s="23"/>
      <c r="L513" s="24"/>
      <c r="M513" s="25"/>
      <c r="N513" s="24"/>
      <c r="O513" s="26"/>
      <c r="P513" s="24"/>
      <c r="V513" s="23"/>
      <c r="W513" s="27"/>
      <c r="X513" s="27"/>
      <c r="Y513" s="28"/>
      <c r="Z513" s="27"/>
      <c r="AA513" s="27"/>
      <c r="AB513" s="27"/>
      <c r="AC513" s="28"/>
      <c r="AD513" s="29"/>
      <c r="AE513" s="29"/>
      <c r="AF513" s="29"/>
      <c r="AG513" s="28"/>
      <c r="AH513" s="29"/>
      <c r="AI513" s="29"/>
      <c r="AJ513" s="29"/>
    </row>
    <row r="514">
      <c r="C514" s="23"/>
      <c r="L514" s="24"/>
      <c r="M514" s="25"/>
      <c r="N514" s="24"/>
      <c r="O514" s="26"/>
      <c r="P514" s="24"/>
      <c r="V514" s="23"/>
      <c r="W514" s="27"/>
      <c r="X514" s="27"/>
      <c r="Y514" s="28"/>
      <c r="Z514" s="27"/>
      <c r="AA514" s="27"/>
      <c r="AB514" s="27"/>
      <c r="AC514" s="28"/>
      <c r="AD514" s="29"/>
      <c r="AE514" s="29"/>
      <c r="AF514" s="29"/>
      <c r="AG514" s="28"/>
      <c r="AH514" s="29"/>
      <c r="AI514" s="29"/>
      <c r="AJ514" s="29"/>
    </row>
    <row r="515">
      <c r="C515" s="23"/>
      <c r="L515" s="24"/>
      <c r="M515" s="25"/>
      <c r="N515" s="24"/>
      <c r="O515" s="26"/>
      <c r="P515" s="24"/>
      <c r="V515" s="23"/>
      <c r="W515" s="27"/>
      <c r="X515" s="27"/>
      <c r="Y515" s="28"/>
      <c r="Z515" s="27"/>
      <c r="AA515" s="27"/>
      <c r="AB515" s="27"/>
      <c r="AC515" s="28"/>
      <c r="AD515" s="29"/>
      <c r="AE515" s="29"/>
      <c r="AF515" s="29"/>
      <c r="AG515" s="28"/>
      <c r="AH515" s="29"/>
      <c r="AI515" s="29"/>
      <c r="AJ515" s="29"/>
    </row>
    <row r="516">
      <c r="C516" s="23"/>
      <c r="L516" s="24"/>
      <c r="M516" s="25"/>
      <c r="N516" s="24"/>
      <c r="O516" s="26"/>
      <c r="P516" s="24"/>
      <c r="V516" s="23"/>
      <c r="W516" s="27"/>
      <c r="X516" s="27"/>
      <c r="Y516" s="28"/>
      <c r="Z516" s="27"/>
      <c r="AA516" s="27"/>
      <c r="AB516" s="27"/>
      <c r="AC516" s="28"/>
      <c r="AD516" s="29"/>
      <c r="AE516" s="29"/>
      <c r="AF516" s="29"/>
      <c r="AG516" s="28"/>
      <c r="AH516" s="29"/>
      <c r="AI516" s="29"/>
      <c r="AJ516" s="29"/>
    </row>
    <row r="517">
      <c r="C517" s="23"/>
      <c r="L517" s="24"/>
      <c r="M517" s="25"/>
      <c r="N517" s="24"/>
      <c r="O517" s="26"/>
      <c r="P517" s="24"/>
      <c r="V517" s="23"/>
      <c r="W517" s="27"/>
      <c r="X517" s="27"/>
      <c r="Y517" s="28"/>
      <c r="Z517" s="27"/>
      <c r="AA517" s="27"/>
      <c r="AB517" s="27"/>
      <c r="AC517" s="28"/>
      <c r="AD517" s="29"/>
      <c r="AE517" s="29"/>
      <c r="AF517" s="29"/>
      <c r="AG517" s="28"/>
      <c r="AH517" s="29"/>
      <c r="AI517" s="29"/>
      <c r="AJ517" s="29"/>
    </row>
    <row r="518">
      <c r="C518" s="23"/>
      <c r="L518" s="24"/>
      <c r="M518" s="25"/>
      <c r="N518" s="24"/>
      <c r="O518" s="26"/>
      <c r="P518" s="24"/>
      <c r="V518" s="23"/>
      <c r="W518" s="27"/>
      <c r="X518" s="27"/>
      <c r="Y518" s="28"/>
      <c r="Z518" s="27"/>
      <c r="AA518" s="27"/>
      <c r="AB518" s="27"/>
      <c r="AC518" s="28"/>
      <c r="AD518" s="29"/>
      <c r="AE518" s="29"/>
      <c r="AF518" s="29"/>
      <c r="AG518" s="28"/>
      <c r="AH518" s="29"/>
      <c r="AI518" s="29"/>
      <c r="AJ518" s="29"/>
    </row>
    <row r="519">
      <c r="C519" s="23"/>
      <c r="L519" s="24"/>
      <c r="M519" s="25"/>
      <c r="N519" s="24"/>
      <c r="O519" s="26"/>
      <c r="P519" s="24"/>
      <c r="V519" s="23"/>
      <c r="W519" s="27"/>
      <c r="X519" s="27"/>
      <c r="Y519" s="28"/>
      <c r="Z519" s="27"/>
      <c r="AA519" s="27"/>
      <c r="AB519" s="27"/>
      <c r="AC519" s="28"/>
      <c r="AD519" s="29"/>
      <c r="AE519" s="29"/>
      <c r="AF519" s="29"/>
      <c r="AG519" s="28"/>
      <c r="AH519" s="29"/>
      <c r="AI519" s="29"/>
      <c r="AJ519" s="29"/>
    </row>
    <row r="520">
      <c r="C520" s="23"/>
      <c r="L520" s="24"/>
      <c r="M520" s="25"/>
      <c r="N520" s="24"/>
      <c r="O520" s="26"/>
      <c r="P520" s="24"/>
      <c r="V520" s="23"/>
      <c r="W520" s="27"/>
      <c r="X520" s="27"/>
      <c r="Y520" s="28"/>
      <c r="Z520" s="27"/>
      <c r="AA520" s="27"/>
      <c r="AB520" s="27"/>
      <c r="AC520" s="28"/>
      <c r="AD520" s="29"/>
      <c r="AE520" s="29"/>
      <c r="AF520" s="29"/>
      <c r="AG520" s="28"/>
      <c r="AH520" s="29"/>
      <c r="AI520" s="29"/>
      <c r="AJ520" s="29"/>
    </row>
    <row r="521">
      <c r="C521" s="23"/>
      <c r="L521" s="24"/>
      <c r="M521" s="25"/>
      <c r="N521" s="24"/>
      <c r="O521" s="26"/>
      <c r="P521" s="24"/>
      <c r="V521" s="23"/>
      <c r="W521" s="27"/>
      <c r="X521" s="27"/>
      <c r="Y521" s="28"/>
      <c r="Z521" s="27"/>
      <c r="AA521" s="27"/>
      <c r="AB521" s="27"/>
      <c r="AC521" s="28"/>
      <c r="AD521" s="29"/>
      <c r="AE521" s="29"/>
      <c r="AF521" s="29"/>
      <c r="AG521" s="28"/>
      <c r="AH521" s="29"/>
      <c r="AI521" s="29"/>
      <c r="AJ521" s="29"/>
    </row>
    <row r="522">
      <c r="C522" s="23"/>
      <c r="L522" s="24"/>
      <c r="M522" s="25"/>
      <c r="N522" s="24"/>
      <c r="O522" s="26"/>
      <c r="P522" s="24"/>
      <c r="V522" s="23"/>
      <c r="W522" s="27"/>
      <c r="X522" s="27"/>
      <c r="Y522" s="28"/>
      <c r="Z522" s="27"/>
      <c r="AA522" s="27"/>
      <c r="AB522" s="27"/>
      <c r="AC522" s="28"/>
      <c r="AD522" s="29"/>
      <c r="AE522" s="29"/>
      <c r="AF522" s="29"/>
      <c r="AG522" s="28"/>
      <c r="AH522" s="29"/>
      <c r="AI522" s="29"/>
      <c r="AJ522" s="29"/>
    </row>
    <row r="523">
      <c r="C523" s="23"/>
      <c r="L523" s="24"/>
      <c r="M523" s="25"/>
      <c r="N523" s="24"/>
      <c r="O523" s="26"/>
      <c r="P523" s="24"/>
      <c r="V523" s="23"/>
      <c r="W523" s="27"/>
      <c r="X523" s="27"/>
      <c r="Y523" s="28"/>
      <c r="Z523" s="27"/>
      <c r="AA523" s="27"/>
      <c r="AB523" s="27"/>
      <c r="AC523" s="28"/>
      <c r="AD523" s="29"/>
      <c r="AE523" s="29"/>
      <c r="AF523" s="29"/>
      <c r="AG523" s="28"/>
      <c r="AH523" s="29"/>
      <c r="AI523" s="29"/>
      <c r="AJ523" s="29"/>
    </row>
    <row r="524">
      <c r="C524" s="23"/>
      <c r="L524" s="24"/>
      <c r="M524" s="25"/>
      <c r="N524" s="24"/>
      <c r="O524" s="26"/>
      <c r="P524" s="24"/>
      <c r="V524" s="23"/>
      <c r="W524" s="27"/>
      <c r="X524" s="27"/>
      <c r="Y524" s="28"/>
      <c r="Z524" s="27"/>
      <c r="AA524" s="27"/>
      <c r="AB524" s="27"/>
      <c r="AC524" s="28"/>
      <c r="AD524" s="29"/>
      <c r="AE524" s="29"/>
      <c r="AF524" s="29"/>
      <c r="AG524" s="28"/>
      <c r="AH524" s="29"/>
      <c r="AI524" s="29"/>
      <c r="AJ524" s="29"/>
    </row>
    <row r="525">
      <c r="C525" s="23"/>
      <c r="L525" s="24"/>
      <c r="M525" s="25"/>
      <c r="N525" s="24"/>
      <c r="O525" s="26"/>
      <c r="P525" s="24"/>
      <c r="V525" s="23"/>
      <c r="W525" s="27"/>
      <c r="X525" s="27"/>
      <c r="Y525" s="28"/>
      <c r="Z525" s="27"/>
      <c r="AA525" s="27"/>
      <c r="AB525" s="27"/>
      <c r="AC525" s="28"/>
      <c r="AD525" s="29"/>
      <c r="AE525" s="29"/>
      <c r="AF525" s="29"/>
      <c r="AG525" s="28"/>
      <c r="AH525" s="29"/>
      <c r="AI525" s="29"/>
      <c r="AJ525" s="29"/>
    </row>
    <row r="526">
      <c r="C526" s="23"/>
      <c r="L526" s="24"/>
      <c r="M526" s="25"/>
      <c r="N526" s="24"/>
      <c r="O526" s="26"/>
      <c r="P526" s="24"/>
      <c r="V526" s="23"/>
      <c r="W526" s="27"/>
      <c r="X526" s="27"/>
      <c r="Y526" s="28"/>
      <c r="Z526" s="27"/>
      <c r="AA526" s="27"/>
      <c r="AB526" s="27"/>
      <c r="AC526" s="28"/>
      <c r="AD526" s="29"/>
      <c r="AE526" s="29"/>
      <c r="AF526" s="29"/>
      <c r="AG526" s="28"/>
      <c r="AH526" s="29"/>
      <c r="AI526" s="29"/>
      <c r="AJ526" s="29"/>
    </row>
    <row r="527">
      <c r="C527" s="23"/>
      <c r="L527" s="24"/>
      <c r="M527" s="25"/>
      <c r="N527" s="24"/>
      <c r="O527" s="26"/>
      <c r="P527" s="24"/>
      <c r="V527" s="23"/>
      <c r="W527" s="27"/>
      <c r="X527" s="27"/>
      <c r="Y527" s="28"/>
      <c r="Z527" s="27"/>
      <c r="AA527" s="27"/>
      <c r="AB527" s="27"/>
      <c r="AC527" s="28"/>
      <c r="AD527" s="29"/>
      <c r="AE527" s="29"/>
      <c r="AF527" s="29"/>
      <c r="AG527" s="28"/>
      <c r="AH527" s="29"/>
      <c r="AI527" s="29"/>
      <c r="AJ527" s="29"/>
    </row>
    <row r="528">
      <c r="C528" s="23"/>
      <c r="L528" s="24"/>
      <c r="M528" s="25"/>
      <c r="N528" s="24"/>
      <c r="O528" s="26"/>
      <c r="P528" s="24"/>
      <c r="V528" s="23"/>
      <c r="W528" s="27"/>
      <c r="X528" s="27"/>
      <c r="Y528" s="28"/>
      <c r="Z528" s="27"/>
      <c r="AA528" s="27"/>
      <c r="AB528" s="27"/>
      <c r="AC528" s="28"/>
      <c r="AD528" s="29"/>
      <c r="AE528" s="29"/>
      <c r="AF528" s="29"/>
      <c r="AG528" s="28"/>
      <c r="AH528" s="29"/>
      <c r="AI528" s="29"/>
      <c r="AJ528" s="29"/>
    </row>
    <row r="529">
      <c r="C529" s="23"/>
      <c r="L529" s="24"/>
      <c r="M529" s="25"/>
      <c r="N529" s="24"/>
      <c r="O529" s="26"/>
      <c r="P529" s="24"/>
      <c r="V529" s="23"/>
      <c r="W529" s="27"/>
      <c r="X529" s="27"/>
      <c r="Y529" s="28"/>
      <c r="Z529" s="27"/>
      <c r="AA529" s="27"/>
      <c r="AB529" s="27"/>
      <c r="AC529" s="28"/>
      <c r="AD529" s="29"/>
      <c r="AE529" s="29"/>
      <c r="AF529" s="29"/>
      <c r="AG529" s="28"/>
      <c r="AH529" s="29"/>
      <c r="AI529" s="29"/>
      <c r="AJ529" s="29"/>
    </row>
    <row r="530">
      <c r="C530" s="23"/>
      <c r="L530" s="24"/>
      <c r="M530" s="25"/>
      <c r="N530" s="24"/>
      <c r="O530" s="26"/>
      <c r="P530" s="24"/>
      <c r="V530" s="23"/>
      <c r="W530" s="27"/>
      <c r="X530" s="27"/>
      <c r="Y530" s="28"/>
      <c r="Z530" s="27"/>
      <c r="AA530" s="27"/>
      <c r="AB530" s="27"/>
      <c r="AC530" s="28"/>
      <c r="AD530" s="29"/>
      <c r="AE530" s="29"/>
      <c r="AF530" s="29"/>
      <c r="AG530" s="28"/>
      <c r="AH530" s="29"/>
      <c r="AI530" s="29"/>
      <c r="AJ530" s="29"/>
    </row>
    <row r="531">
      <c r="C531" s="23"/>
      <c r="L531" s="24"/>
      <c r="M531" s="25"/>
      <c r="N531" s="24"/>
      <c r="O531" s="26"/>
      <c r="P531" s="24"/>
      <c r="V531" s="23"/>
      <c r="W531" s="27"/>
      <c r="X531" s="27"/>
      <c r="Y531" s="28"/>
      <c r="Z531" s="27"/>
      <c r="AA531" s="27"/>
      <c r="AB531" s="27"/>
      <c r="AC531" s="28"/>
      <c r="AD531" s="29"/>
      <c r="AE531" s="29"/>
      <c r="AF531" s="29"/>
      <c r="AG531" s="28"/>
      <c r="AH531" s="29"/>
      <c r="AI531" s="29"/>
      <c r="AJ531" s="29"/>
    </row>
    <row r="532">
      <c r="C532" s="23"/>
      <c r="L532" s="24"/>
      <c r="M532" s="25"/>
      <c r="N532" s="24"/>
      <c r="O532" s="26"/>
      <c r="P532" s="24"/>
      <c r="V532" s="23"/>
      <c r="W532" s="27"/>
      <c r="X532" s="27"/>
      <c r="Y532" s="28"/>
      <c r="Z532" s="27"/>
      <c r="AA532" s="27"/>
      <c r="AB532" s="27"/>
      <c r="AC532" s="28"/>
      <c r="AD532" s="29"/>
      <c r="AE532" s="29"/>
      <c r="AF532" s="29"/>
      <c r="AG532" s="28"/>
      <c r="AH532" s="29"/>
      <c r="AI532" s="29"/>
      <c r="AJ532" s="29"/>
    </row>
    <row r="533">
      <c r="C533" s="23"/>
      <c r="L533" s="24"/>
      <c r="M533" s="25"/>
      <c r="N533" s="24"/>
      <c r="O533" s="26"/>
      <c r="P533" s="24"/>
      <c r="V533" s="23"/>
      <c r="W533" s="27"/>
      <c r="X533" s="27"/>
      <c r="Y533" s="28"/>
      <c r="Z533" s="27"/>
      <c r="AA533" s="27"/>
      <c r="AB533" s="27"/>
      <c r="AC533" s="28"/>
      <c r="AD533" s="29"/>
      <c r="AE533" s="29"/>
      <c r="AF533" s="29"/>
      <c r="AG533" s="28"/>
      <c r="AH533" s="29"/>
      <c r="AI533" s="29"/>
      <c r="AJ533" s="29"/>
    </row>
    <row r="534">
      <c r="C534" s="23"/>
      <c r="L534" s="24"/>
      <c r="M534" s="25"/>
      <c r="N534" s="24"/>
      <c r="O534" s="26"/>
      <c r="P534" s="24"/>
      <c r="V534" s="23"/>
      <c r="W534" s="27"/>
      <c r="X534" s="27"/>
      <c r="Y534" s="28"/>
      <c r="Z534" s="27"/>
      <c r="AA534" s="27"/>
      <c r="AB534" s="27"/>
      <c r="AC534" s="28"/>
      <c r="AD534" s="29"/>
      <c r="AE534" s="29"/>
      <c r="AF534" s="29"/>
      <c r="AG534" s="28"/>
      <c r="AH534" s="29"/>
      <c r="AI534" s="29"/>
      <c r="AJ534" s="29"/>
    </row>
    <row r="535">
      <c r="C535" s="23"/>
      <c r="L535" s="24"/>
      <c r="M535" s="25"/>
      <c r="N535" s="24"/>
      <c r="O535" s="26"/>
      <c r="P535" s="24"/>
      <c r="V535" s="23"/>
      <c r="W535" s="27"/>
      <c r="X535" s="27"/>
      <c r="Y535" s="28"/>
      <c r="Z535" s="27"/>
      <c r="AA535" s="27"/>
      <c r="AB535" s="27"/>
      <c r="AC535" s="28"/>
      <c r="AD535" s="29"/>
      <c r="AE535" s="29"/>
      <c r="AF535" s="29"/>
      <c r="AG535" s="28"/>
      <c r="AH535" s="29"/>
      <c r="AI535" s="29"/>
      <c r="AJ535" s="29"/>
    </row>
    <row r="536">
      <c r="C536" s="23"/>
      <c r="L536" s="24"/>
      <c r="M536" s="25"/>
      <c r="N536" s="24"/>
      <c r="O536" s="26"/>
      <c r="P536" s="24"/>
      <c r="V536" s="23"/>
      <c r="W536" s="27"/>
      <c r="X536" s="27"/>
      <c r="Y536" s="28"/>
      <c r="Z536" s="27"/>
      <c r="AA536" s="27"/>
      <c r="AB536" s="27"/>
      <c r="AC536" s="28"/>
      <c r="AD536" s="29"/>
      <c r="AE536" s="29"/>
      <c r="AF536" s="29"/>
      <c r="AG536" s="28"/>
      <c r="AH536" s="29"/>
      <c r="AI536" s="29"/>
      <c r="AJ536" s="29"/>
    </row>
    <row r="537">
      <c r="C537" s="23"/>
      <c r="L537" s="24"/>
      <c r="M537" s="25"/>
      <c r="N537" s="24"/>
      <c r="O537" s="26"/>
      <c r="P537" s="24"/>
      <c r="V537" s="23"/>
      <c r="W537" s="27"/>
      <c r="X537" s="27"/>
      <c r="Y537" s="28"/>
      <c r="Z537" s="27"/>
      <c r="AA537" s="27"/>
      <c r="AB537" s="27"/>
      <c r="AC537" s="28"/>
      <c r="AD537" s="29"/>
      <c r="AE537" s="29"/>
      <c r="AF537" s="29"/>
      <c r="AG537" s="28"/>
      <c r="AH537" s="29"/>
      <c r="AI537" s="29"/>
      <c r="AJ537" s="29"/>
    </row>
    <row r="538">
      <c r="C538" s="23"/>
      <c r="L538" s="24"/>
      <c r="M538" s="25"/>
      <c r="N538" s="24"/>
      <c r="O538" s="26"/>
      <c r="P538" s="24"/>
      <c r="V538" s="23"/>
      <c r="W538" s="27"/>
      <c r="X538" s="27"/>
      <c r="Y538" s="28"/>
      <c r="Z538" s="27"/>
      <c r="AA538" s="27"/>
      <c r="AB538" s="27"/>
      <c r="AC538" s="28"/>
      <c r="AD538" s="29"/>
      <c r="AE538" s="29"/>
      <c r="AF538" s="29"/>
      <c r="AG538" s="28"/>
      <c r="AH538" s="29"/>
      <c r="AI538" s="29"/>
      <c r="AJ538" s="29"/>
    </row>
    <row r="539">
      <c r="C539" s="23"/>
      <c r="L539" s="24"/>
      <c r="M539" s="25"/>
      <c r="N539" s="24"/>
      <c r="O539" s="26"/>
      <c r="P539" s="24"/>
      <c r="V539" s="23"/>
      <c r="W539" s="27"/>
      <c r="X539" s="27"/>
      <c r="Y539" s="28"/>
      <c r="Z539" s="27"/>
      <c r="AA539" s="27"/>
      <c r="AB539" s="27"/>
      <c r="AC539" s="28"/>
      <c r="AD539" s="29"/>
      <c r="AE539" s="29"/>
      <c r="AF539" s="29"/>
      <c r="AG539" s="28"/>
      <c r="AH539" s="29"/>
      <c r="AI539" s="29"/>
      <c r="AJ539" s="29"/>
    </row>
    <row r="540">
      <c r="C540" s="23"/>
      <c r="L540" s="24"/>
      <c r="M540" s="25"/>
      <c r="N540" s="24"/>
      <c r="O540" s="26"/>
      <c r="P540" s="24"/>
      <c r="V540" s="23"/>
      <c r="W540" s="27"/>
      <c r="X540" s="27"/>
      <c r="Y540" s="28"/>
      <c r="Z540" s="27"/>
      <c r="AA540" s="27"/>
      <c r="AB540" s="27"/>
      <c r="AC540" s="28"/>
      <c r="AD540" s="29"/>
      <c r="AE540" s="29"/>
      <c r="AF540" s="29"/>
      <c r="AG540" s="28"/>
      <c r="AH540" s="29"/>
      <c r="AI540" s="29"/>
      <c r="AJ540" s="29"/>
    </row>
    <row r="541">
      <c r="C541" s="23"/>
      <c r="L541" s="24"/>
      <c r="M541" s="25"/>
      <c r="N541" s="24"/>
      <c r="O541" s="26"/>
      <c r="P541" s="24"/>
      <c r="V541" s="23"/>
      <c r="W541" s="27"/>
      <c r="X541" s="27"/>
      <c r="Y541" s="28"/>
      <c r="Z541" s="27"/>
      <c r="AA541" s="27"/>
      <c r="AB541" s="27"/>
      <c r="AC541" s="28"/>
      <c r="AD541" s="29"/>
      <c r="AE541" s="29"/>
      <c r="AF541" s="29"/>
      <c r="AG541" s="28"/>
      <c r="AH541" s="29"/>
      <c r="AI541" s="29"/>
      <c r="AJ541" s="29"/>
    </row>
    <row r="542">
      <c r="C542" s="23"/>
      <c r="L542" s="24"/>
      <c r="M542" s="25"/>
      <c r="N542" s="24"/>
      <c r="O542" s="26"/>
      <c r="P542" s="24"/>
      <c r="V542" s="23"/>
      <c r="W542" s="27"/>
      <c r="X542" s="27"/>
      <c r="Y542" s="28"/>
      <c r="Z542" s="27"/>
      <c r="AA542" s="27"/>
      <c r="AB542" s="27"/>
      <c r="AC542" s="28"/>
      <c r="AD542" s="29"/>
      <c r="AE542" s="29"/>
      <c r="AF542" s="29"/>
      <c r="AG542" s="28"/>
      <c r="AH542" s="29"/>
      <c r="AI542" s="29"/>
      <c r="AJ542" s="29"/>
    </row>
    <row r="543">
      <c r="C543" s="23"/>
      <c r="L543" s="24"/>
      <c r="M543" s="25"/>
      <c r="N543" s="24"/>
      <c r="O543" s="26"/>
      <c r="P543" s="24"/>
      <c r="V543" s="23"/>
      <c r="W543" s="27"/>
      <c r="X543" s="27"/>
      <c r="Y543" s="28"/>
      <c r="Z543" s="27"/>
      <c r="AA543" s="27"/>
      <c r="AB543" s="27"/>
      <c r="AC543" s="28"/>
      <c r="AD543" s="29"/>
      <c r="AE543" s="29"/>
      <c r="AF543" s="29"/>
      <c r="AG543" s="28"/>
      <c r="AH543" s="29"/>
      <c r="AI543" s="29"/>
      <c r="AJ543" s="29"/>
    </row>
    <row r="544">
      <c r="C544" s="23"/>
      <c r="L544" s="24"/>
      <c r="M544" s="25"/>
      <c r="N544" s="24"/>
      <c r="O544" s="26"/>
      <c r="P544" s="24"/>
      <c r="V544" s="23"/>
      <c r="W544" s="27"/>
      <c r="X544" s="27"/>
      <c r="Y544" s="28"/>
      <c r="Z544" s="27"/>
      <c r="AA544" s="27"/>
      <c r="AB544" s="27"/>
      <c r="AC544" s="28"/>
      <c r="AD544" s="29"/>
      <c r="AE544" s="29"/>
      <c r="AF544" s="29"/>
      <c r="AG544" s="28"/>
      <c r="AH544" s="29"/>
      <c r="AI544" s="29"/>
      <c r="AJ544" s="29"/>
    </row>
    <row r="545">
      <c r="C545" s="23"/>
      <c r="L545" s="24"/>
      <c r="M545" s="25"/>
      <c r="N545" s="24"/>
      <c r="O545" s="26"/>
      <c r="P545" s="24"/>
      <c r="V545" s="23"/>
      <c r="W545" s="27"/>
      <c r="X545" s="27"/>
      <c r="Y545" s="28"/>
      <c r="Z545" s="27"/>
      <c r="AA545" s="27"/>
      <c r="AB545" s="27"/>
      <c r="AC545" s="28"/>
      <c r="AD545" s="29"/>
      <c r="AE545" s="29"/>
      <c r="AF545" s="29"/>
      <c r="AG545" s="28"/>
      <c r="AH545" s="29"/>
      <c r="AI545" s="29"/>
      <c r="AJ545" s="29"/>
    </row>
    <row r="546">
      <c r="C546" s="23"/>
      <c r="L546" s="24"/>
      <c r="M546" s="25"/>
      <c r="N546" s="24"/>
      <c r="O546" s="26"/>
      <c r="P546" s="24"/>
      <c r="V546" s="23"/>
      <c r="W546" s="27"/>
      <c r="X546" s="27"/>
      <c r="Y546" s="28"/>
      <c r="Z546" s="27"/>
      <c r="AA546" s="27"/>
      <c r="AB546" s="27"/>
      <c r="AC546" s="28"/>
      <c r="AD546" s="29"/>
      <c r="AE546" s="29"/>
      <c r="AF546" s="29"/>
      <c r="AG546" s="28"/>
      <c r="AH546" s="29"/>
      <c r="AI546" s="29"/>
      <c r="AJ546" s="29"/>
    </row>
    <row r="547">
      <c r="C547" s="23"/>
      <c r="L547" s="24"/>
      <c r="M547" s="25"/>
      <c r="N547" s="24"/>
      <c r="O547" s="26"/>
      <c r="P547" s="24"/>
      <c r="V547" s="23"/>
      <c r="W547" s="27"/>
      <c r="X547" s="27"/>
      <c r="Y547" s="28"/>
      <c r="Z547" s="27"/>
      <c r="AA547" s="27"/>
      <c r="AB547" s="27"/>
      <c r="AC547" s="28"/>
      <c r="AD547" s="29"/>
      <c r="AE547" s="29"/>
      <c r="AF547" s="29"/>
      <c r="AG547" s="28"/>
      <c r="AH547" s="29"/>
      <c r="AI547" s="29"/>
      <c r="AJ547" s="29"/>
    </row>
    <row r="548">
      <c r="C548" s="23"/>
      <c r="L548" s="24"/>
      <c r="M548" s="25"/>
      <c r="N548" s="24"/>
      <c r="O548" s="26"/>
      <c r="P548" s="24"/>
      <c r="V548" s="23"/>
      <c r="W548" s="27"/>
      <c r="X548" s="27"/>
      <c r="Y548" s="28"/>
      <c r="Z548" s="27"/>
      <c r="AA548" s="27"/>
      <c r="AB548" s="27"/>
      <c r="AC548" s="28"/>
      <c r="AD548" s="29"/>
      <c r="AE548" s="29"/>
      <c r="AF548" s="29"/>
      <c r="AG548" s="28"/>
      <c r="AH548" s="29"/>
      <c r="AI548" s="29"/>
      <c r="AJ548" s="29"/>
    </row>
    <row r="549">
      <c r="C549" s="23"/>
      <c r="L549" s="24"/>
      <c r="M549" s="25"/>
      <c r="N549" s="24"/>
      <c r="O549" s="26"/>
      <c r="P549" s="24"/>
      <c r="V549" s="23"/>
      <c r="W549" s="27"/>
      <c r="X549" s="27"/>
      <c r="Y549" s="28"/>
      <c r="Z549" s="27"/>
      <c r="AA549" s="27"/>
      <c r="AB549" s="27"/>
      <c r="AC549" s="28"/>
      <c r="AD549" s="29"/>
      <c r="AE549" s="29"/>
      <c r="AF549" s="29"/>
      <c r="AG549" s="28"/>
      <c r="AH549" s="29"/>
      <c r="AI549" s="29"/>
      <c r="AJ549" s="29"/>
    </row>
    <row r="550">
      <c r="C550" s="23"/>
      <c r="L550" s="24"/>
      <c r="M550" s="25"/>
      <c r="N550" s="24"/>
      <c r="O550" s="26"/>
      <c r="P550" s="24"/>
      <c r="V550" s="23"/>
      <c r="W550" s="27"/>
      <c r="X550" s="27"/>
      <c r="Y550" s="28"/>
      <c r="Z550" s="27"/>
      <c r="AA550" s="27"/>
      <c r="AB550" s="27"/>
      <c r="AC550" s="28"/>
      <c r="AD550" s="29"/>
      <c r="AE550" s="29"/>
      <c r="AF550" s="29"/>
      <c r="AG550" s="28"/>
      <c r="AH550" s="29"/>
      <c r="AI550" s="29"/>
      <c r="AJ550" s="29"/>
    </row>
    <row r="551">
      <c r="C551" s="23"/>
      <c r="L551" s="24"/>
      <c r="M551" s="25"/>
      <c r="N551" s="24"/>
      <c r="O551" s="26"/>
      <c r="P551" s="24"/>
      <c r="V551" s="23"/>
      <c r="W551" s="27"/>
      <c r="X551" s="27"/>
      <c r="Y551" s="28"/>
      <c r="Z551" s="27"/>
      <c r="AA551" s="27"/>
      <c r="AB551" s="27"/>
      <c r="AC551" s="28"/>
      <c r="AD551" s="29"/>
      <c r="AE551" s="29"/>
      <c r="AF551" s="29"/>
      <c r="AG551" s="28"/>
      <c r="AH551" s="29"/>
      <c r="AI551" s="29"/>
      <c r="AJ551" s="29"/>
    </row>
    <row r="552">
      <c r="C552" s="23"/>
      <c r="L552" s="24"/>
      <c r="M552" s="25"/>
      <c r="N552" s="24"/>
      <c r="O552" s="26"/>
      <c r="P552" s="24"/>
      <c r="V552" s="23"/>
      <c r="W552" s="27"/>
      <c r="X552" s="27"/>
      <c r="Y552" s="28"/>
      <c r="Z552" s="27"/>
      <c r="AA552" s="27"/>
      <c r="AB552" s="27"/>
      <c r="AC552" s="28"/>
      <c r="AD552" s="29"/>
      <c r="AE552" s="29"/>
      <c r="AF552" s="29"/>
      <c r="AG552" s="28"/>
      <c r="AH552" s="29"/>
      <c r="AI552" s="29"/>
      <c r="AJ552" s="29"/>
    </row>
    <row r="553">
      <c r="C553" s="23"/>
      <c r="L553" s="24"/>
      <c r="M553" s="25"/>
      <c r="N553" s="24"/>
      <c r="O553" s="26"/>
      <c r="P553" s="24"/>
      <c r="V553" s="23"/>
      <c r="W553" s="27"/>
      <c r="X553" s="27"/>
      <c r="Y553" s="28"/>
      <c r="Z553" s="27"/>
      <c r="AA553" s="27"/>
      <c r="AB553" s="27"/>
      <c r="AC553" s="28"/>
      <c r="AD553" s="29"/>
      <c r="AE553" s="29"/>
      <c r="AF553" s="29"/>
      <c r="AG553" s="28"/>
      <c r="AH553" s="29"/>
      <c r="AI553" s="29"/>
      <c r="AJ553" s="29"/>
    </row>
    <row r="554">
      <c r="C554" s="23"/>
      <c r="L554" s="24"/>
      <c r="M554" s="25"/>
      <c r="N554" s="24"/>
      <c r="O554" s="26"/>
      <c r="P554" s="24"/>
      <c r="V554" s="23"/>
      <c r="W554" s="27"/>
      <c r="X554" s="27"/>
      <c r="Y554" s="28"/>
      <c r="Z554" s="27"/>
      <c r="AA554" s="27"/>
      <c r="AB554" s="27"/>
      <c r="AC554" s="28"/>
      <c r="AD554" s="29"/>
      <c r="AE554" s="29"/>
      <c r="AF554" s="29"/>
      <c r="AG554" s="28"/>
      <c r="AH554" s="29"/>
      <c r="AI554" s="29"/>
      <c r="AJ554" s="29"/>
    </row>
    <row r="555">
      <c r="C555" s="23"/>
      <c r="L555" s="24"/>
      <c r="M555" s="25"/>
      <c r="N555" s="24"/>
      <c r="O555" s="26"/>
      <c r="P555" s="24"/>
      <c r="V555" s="23"/>
      <c r="W555" s="27"/>
      <c r="X555" s="27"/>
      <c r="Y555" s="28"/>
      <c r="Z555" s="27"/>
      <c r="AA555" s="27"/>
      <c r="AB555" s="27"/>
      <c r="AC555" s="28"/>
      <c r="AD555" s="29"/>
      <c r="AE555" s="29"/>
      <c r="AF555" s="29"/>
      <c r="AG555" s="28"/>
      <c r="AH555" s="29"/>
      <c r="AI555" s="29"/>
      <c r="AJ555" s="29"/>
    </row>
    <row r="556">
      <c r="C556" s="23"/>
      <c r="L556" s="24"/>
      <c r="M556" s="25"/>
      <c r="N556" s="24"/>
      <c r="O556" s="26"/>
      <c r="P556" s="24"/>
      <c r="V556" s="23"/>
      <c r="W556" s="27"/>
      <c r="X556" s="27"/>
      <c r="Y556" s="28"/>
      <c r="Z556" s="27"/>
      <c r="AA556" s="27"/>
      <c r="AB556" s="27"/>
      <c r="AC556" s="28"/>
      <c r="AD556" s="29"/>
      <c r="AE556" s="29"/>
      <c r="AF556" s="29"/>
      <c r="AG556" s="28"/>
      <c r="AH556" s="29"/>
      <c r="AI556" s="29"/>
      <c r="AJ556" s="29"/>
    </row>
    <row r="557">
      <c r="C557" s="23"/>
      <c r="L557" s="24"/>
      <c r="M557" s="25"/>
      <c r="N557" s="24"/>
      <c r="O557" s="26"/>
      <c r="P557" s="24"/>
      <c r="V557" s="23"/>
      <c r="W557" s="27"/>
      <c r="X557" s="27"/>
      <c r="Y557" s="28"/>
      <c r="Z557" s="27"/>
      <c r="AA557" s="27"/>
      <c r="AB557" s="27"/>
      <c r="AC557" s="28"/>
      <c r="AD557" s="29"/>
      <c r="AE557" s="29"/>
      <c r="AF557" s="29"/>
      <c r="AG557" s="28"/>
      <c r="AH557" s="29"/>
      <c r="AI557" s="29"/>
      <c r="AJ557" s="29"/>
    </row>
    <row r="558">
      <c r="C558" s="23"/>
      <c r="L558" s="24"/>
      <c r="M558" s="25"/>
      <c r="N558" s="24"/>
      <c r="O558" s="26"/>
      <c r="P558" s="24"/>
      <c r="V558" s="23"/>
      <c r="W558" s="27"/>
      <c r="X558" s="27"/>
      <c r="Y558" s="28"/>
      <c r="Z558" s="27"/>
      <c r="AA558" s="27"/>
      <c r="AB558" s="27"/>
      <c r="AC558" s="28"/>
      <c r="AD558" s="29"/>
      <c r="AE558" s="29"/>
      <c r="AF558" s="29"/>
      <c r="AG558" s="28"/>
      <c r="AH558" s="29"/>
      <c r="AI558" s="29"/>
      <c r="AJ558" s="29"/>
    </row>
    <row r="559">
      <c r="C559" s="23"/>
      <c r="L559" s="24"/>
      <c r="M559" s="25"/>
      <c r="N559" s="24"/>
      <c r="O559" s="26"/>
      <c r="P559" s="24"/>
      <c r="V559" s="23"/>
      <c r="W559" s="27"/>
      <c r="X559" s="27"/>
      <c r="Y559" s="28"/>
      <c r="Z559" s="27"/>
      <c r="AA559" s="27"/>
      <c r="AB559" s="27"/>
      <c r="AC559" s="28"/>
      <c r="AD559" s="29"/>
      <c r="AE559" s="29"/>
      <c r="AF559" s="29"/>
      <c r="AG559" s="28"/>
      <c r="AH559" s="29"/>
      <c r="AI559" s="29"/>
      <c r="AJ559" s="29"/>
    </row>
    <row r="560">
      <c r="C560" s="23"/>
      <c r="L560" s="24"/>
      <c r="M560" s="25"/>
      <c r="N560" s="24"/>
      <c r="O560" s="26"/>
      <c r="P560" s="24"/>
      <c r="V560" s="23"/>
      <c r="W560" s="27"/>
      <c r="X560" s="27"/>
      <c r="Y560" s="28"/>
      <c r="Z560" s="27"/>
      <c r="AA560" s="27"/>
      <c r="AB560" s="27"/>
      <c r="AC560" s="28"/>
      <c r="AD560" s="29"/>
      <c r="AE560" s="29"/>
      <c r="AF560" s="29"/>
      <c r="AG560" s="28"/>
      <c r="AH560" s="29"/>
      <c r="AI560" s="29"/>
      <c r="AJ560" s="29"/>
    </row>
    <row r="561">
      <c r="C561" s="23"/>
      <c r="L561" s="24"/>
      <c r="M561" s="25"/>
      <c r="N561" s="24"/>
      <c r="O561" s="26"/>
      <c r="P561" s="24"/>
      <c r="V561" s="23"/>
      <c r="W561" s="27"/>
      <c r="X561" s="27"/>
      <c r="Y561" s="28"/>
      <c r="Z561" s="27"/>
      <c r="AA561" s="27"/>
      <c r="AB561" s="27"/>
      <c r="AC561" s="28"/>
      <c r="AD561" s="29"/>
      <c r="AE561" s="29"/>
      <c r="AF561" s="29"/>
      <c r="AG561" s="28"/>
      <c r="AH561" s="29"/>
      <c r="AI561" s="29"/>
      <c r="AJ561" s="29"/>
    </row>
    <row r="562">
      <c r="C562" s="23"/>
      <c r="L562" s="24"/>
      <c r="M562" s="25"/>
      <c r="N562" s="24"/>
      <c r="O562" s="26"/>
      <c r="P562" s="24"/>
      <c r="V562" s="23"/>
      <c r="W562" s="27"/>
      <c r="X562" s="27"/>
      <c r="Y562" s="28"/>
      <c r="Z562" s="27"/>
      <c r="AA562" s="27"/>
      <c r="AB562" s="27"/>
      <c r="AC562" s="28"/>
      <c r="AD562" s="29"/>
      <c r="AE562" s="29"/>
      <c r="AF562" s="29"/>
      <c r="AG562" s="28"/>
      <c r="AH562" s="29"/>
      <c r="AI562" s="29"/>
      <c r="AJ562" s="29"/>
    </row>
    <row r="563">
      <c r="C563" s="23"/>
      <c r="L563" s="24"/>
      <c r="M563" s="25"/>
      <c r="N563" s="24"/>
      <c r="O563" s="26"/>
      <c r="P563" s="24"/>
      <c r="V563" s="23"/>
      <c r="W563" s="27"/>
      <c r="X563" s="27"/>
      <c r="Y563" s="28"/>
      <c r="Z563" s="27"/>
      <c r="AA563" s="27"/>
      <c r="AB563" s="27"/>
      <c r="AC563" s="28"/>
      <c r="AD563" s="29"/>
      <c r="AE563" s="29"/>
      <c r="AF563" s="29"/>
      <c r="AG563" s="28"/>
      <c r="AH563" s="29"/>
      <c r="AI563" s="29"/>
      <c r="AJ563" s="29"/>
    </row>
    <row r="564">
      <c r="C564" s="23"/>
      <c r="L564" s="24"/>
      <c r="M564" s="25"/>
      <c r="N564" s="24"/>
      <c r="O564" s="26"/>
      <c r="P564" s="24"/>
      <c r="V564" s="23"/>
      <c r="W564" s="27"/>
      <c r="X564" s="27"/>
      <c r="Y564" s="28"/>
      <c r="Z564" s="27"/>
      <c r="AA564" s="27"/>
      <c r="AB564" s="27"/>
      <c r="AC564" s="28"/>
      <c r="AD564" s="29"/>
      <c r="AE564" s="29"/>
      <c r="AF564" s="29"/>
      <c r="AG564" s="28"/>
      <c r="AH564" s="29"/>
      <c r="AI564" s="29"/>
      <c r="AJ564" s="29"/>
    </row>
    <row r="565">
      <c r="C565" s="23"/>
      <c r="L565" s="24"/>
      <c r="M565" s="25"/>
      <c r="N565" s="24"/>
      <c r="O565" s="26"/>
      <c r="P565" s="24"/>
      <c r="V565" s="23"/>
      <c r="W565" s="27"/>
      <c r="X565" s="27"/>
      <c r="Y565" s="28"/>
      <c r="Z565" s="27"/>
      <c r="AA565" s="27"/>
      <c r="AB565" s="27"/>
      <c r="AC565" s="28"/>
      <c r="AD565" s="29"/>
      <c r="AE565" s="29"/>
      <c r="AF565" s="29"/>
      <c r="AG565" s="28"/>
      <c r="AH565" s="29"/>
      <c r="AI565" s="29"/>
      <c r="AJ565" s="29"/>
    </row>
    <row r="566">
      <c r="C566" s="23"/>
      <c r="L566" s="24"/>
      <c r="M566" s="25"/>
      <c r="N566" s="24"/>
      <c r="O566" s="26"/>
      <c r="P566" s="24"/>
      <c r="V566" s="23"/>
      <c r="W566" s="27"/>
      <c r="X566" s="27"/>
      <c r="Y566" s="28"/>
      <c r="Z566" s="27"/>
      <c r="AA566" s="27"/>
      <c r="AB566" s="27"/>
      <c r="AC566" s="28"/>
      <c r="AD566" s="29"/>
      <c r="AE566" s="29"/>
      <c r="AF566" s="29"/>
      <c r="AG566" s="28"/>
      <c r="AH566" s="29"/>
      <c r="AI566" s="29"/>
      <c r="AJ566" s="29"/>
    </row>
    <row r="567">
      <c r="C567" s="23"/>
      <c r="L567" s="24"/>
      <c r="M567" s="25"/>
      <c r="N567" s="24"/>
      <c r="O567" s="26"/>
      <c r="P567" s="24"/>
      <c r="V567" s="23"/>
      <c r="W567" s="27"/>
      <c r="X567" s="27"/>
      <c r="Y567" s="28"/>
      <c r="Z567" s="27"/>
      <c r="AA567" s="27"/>
      <c r="AB567" s="27"/>
      <c r="AC567" s="28"/>
      <c r="AD567" s="29"/>
      <c r="AE567" s="29"/>
      <c r="AF567" s="29"/>
      <c r="AG567" s="28"/>
      <c r="AH567" s="29"/>
      <c r="AI567" s="29"/>
      <c r="AJ567" s="29"/>
    </row>
    <row r="568">
      <c r="C568" s="23"/>
      <c r="L568" s="24"/>
      <c r="M568" s="25"/>
      <c r="N568" s="24"/>
      <c r="O568" s="26"/>
      <c r="P568" s="24"/>
      <c r="V568" s="23"/>
      <c r="W568" s="27"/>
      <c r="X568" s="27"/>
      <c r="Y568" s="28"/>
      <c r="Z568" s="27"/>
      <c r="AA568" s="27"/>
      <c r="AB568" s="27"/>
      <c r="AC568" s="28"/>
      <c r="AD568" s="29"/>
      <c r="AE568" s="29"/>
      <c r="AF568" s="29"/>
      <c r="AG568" s="28"/>
      <c r="AH568" s="29"/>
      <c r="AI568" s="29"/>
      <c r="AJ568" s="29"/>
    </row>
    <row r="569">
      <c r="C569" s="23"/>
      <c r="L569" s="24"/>
      <c r="M569" s="25"/>
      <c r="N569" s="24"/>
      <c r="O569" s="26"/>
      <c r="P569" s="24"/>
      <c r="V569" s="23"/>
      <c r="W569" s="27"/>
      <c r="X569" s="27"/>
      <c r="Y569" s="28"/>
      <c r="Z569" s="27"/>
      <c r="AA569" s="27"/>
      <c r="AB569" s="27"/>
      <c r="AC569" s="28"/>
      <c r="AD569" s="29"/>
      <c r="AE569" s="29"/>
      <c r="AF569" s="29"/>
      <c r="AG569" s="28"/>
      <c r="AH569" s="29"/>
      <c r="AI569" s="29"/>
      <c r="AJ569" s="29"/>
    </row>
    <row r="570">
      <c r="C570" s="23"/>
      <c r="L570" s="24"/>
      <c r="M570" s="25"/>
      <c r="N570" s="24"/>
      <c r="O570" s="26"/>
      <c r="P570" s="24"/>
      <c r="V570" s="23"/>
      <c r="W570" s="27"/>
      <c r="X570" s="27"/>
      <c r="Y570" s="28"/>
      <c r="Z570" s="27"/>
      <c r="AA570" s="27"/>
      <c r="AB570" s="27"/>
      <c r="AC570" s="28"/>
      <c r="AD570" s="29"/>
      <c r="AE570" s="29"/>
      <c r="AF570" s="29"/>
      <c r="AG570" s="28"/>
      <c r="AH570" s="29"/>
      <c r="AI570" s="29"/>
      <c r="AJ570" s="29"/>
    </row>
    <row r="571">
      <c r="C571" s="23"/>
      <c r="L571" s="24"/>
      <c r="M571" s="25"/>
      <c r="N571" s="24"/>
      <c r="O571" s="26"/>
      <c r="P571" s="24"/>
      <c r="V571" s="23"/>
      <c r="W571" s="27"/>
      <c r="X571" s="27"/>
      <c r="Y571" s="28"/>
      <c r="Z571" s="27"/>
      <c r="AA571" s="27"/>
      <c r="AB571" s="27"/>
      <c r="AC571" s="28"/>
      <c r="AD571" s="29"/>
      <c r="AE571" s="29"/>
      <c r="AF571" s="29"/>
      <c r="AG571" s="28"/>
      <c r="AH571" s="29"/>
      <c r="AI571" s="29"/>
      <c r="AJ571" s="29"/>
    </row>
    <row r="572">
      <c r="C572" s="23"/>
      <c r="L572" s="24"/>
      <c r="M572" s="25"/>
      <c r="N572" s="24"/>
      <c r="O572" s="26"/>
      <c r="P572" s="24"/>
      <c r="V572" s="23"/>
      <c r="W572" s="27"/>
      <c r="X572" s="27"/>
      <c r="Y572" s="28"/>
      <c r="Z572" s="27"/>
      <c r="AA572" s="27"/>
      <c r="AB572" s="27"/>
      <c r="AC572" s="28"/>
      <c r="AD572" s="29"/>
      <c r="AE572" s="29"/>
      <c r="AF572" s="29"/>
      <c r="AG572" s="28"/>
      <c r="AH572" s="29"/>
      <c r="AI572" s="29"/>
      <c r="AJ572" s="29"/>
    </row>
    <row r="573">
      <c r="C573" s="23"/>
      <c r="L573" s="24"/>
      <c r="M573" s="25"/>
      <c r="N573" s="24"/>
      <c r="O573" s="26"/>
      <c r="P573" s="24"/>
      <c r="V573" s="23"/>
      <c r="W573" s="27"/>
      <c r="X573" s="27"/>
      <c r="Y573" s="28"/>
      <c r="Z573" s="27"/>
      <c r="AA573" s="27"/>
      <c r="AB573" s="27"/>
      <c r="AC573" s="28"/>
      <c r="AD573" s="29"/>
      <c r="AE573" s="29"/>
      <c r="AF573" s="29"/>
      <c r="AG573" s="28"/>
      <c r="AH573" s="29"/>
      <c r="AI573" s="29"/>
      <c r="AJ573" s="29"/>
    </row>
    <row r="574">
      <c r="C574" s="23"/>
      <c r="L574" s="24"/>
      <c r="M574" s="25"/>
      <c r="N574" s="24"/>
      <c r="O574" s="26"/>
      <c r="P574" s="24"/>
      <c r="V574" s="23"/>
      <c r="W574" s="27"/>
      <c r="X574" s="27"/>
      <c r="Y574" s="28"/>
      <c r="Z574" s="27"/>
      <c r="AA574" s="27"/>
      <c r="AB574" s="27"/>
      <c r="AC574" s="28"/>
      <c r="AD574" s="29"/>
      <c r="AE574" s="29"/>
      <c r="AF574" s="29"/>
      <c r="AG574" s="28"/>
      <c r="AH574" s="29"/>
      <c r="AI574" s="29"/>
      <c r="AJ574" s="29"/>
    </row>
    <row r="575">
      <c r="C575" s="23"/>
      <c r="L575" s="24"/>
      <c r="M575" s="25"/>
      <c r="N575" s="24"/>
      <c r="O575" s="26"/>
      <c r="P575" s="24"/>
      <c r="V575" s="23"/>
      <c r="W575" s="27"/>
      <c r="X575" s="27"/>
      <c r="Y575" s="28"/>
      <c r="Z575" s="27"/>
      <c r="AA575" s="27"/>
      <c r="AB575" s="27"/>
      <c r="AC575" s="28"/>
      <c r="AD575" s="29"/>
      <c r="AE575" s="29"/>
      <c r="AF575" s="29"/>
      <c r="AG575" s="28"/>
      <c r="AH575" s="29"/>
      <c r="AI575" s="29"/>
      <c r="AJ575" s="29"/>
    </row>
    <row r="576">
      <c r="C576" s="23"/>
      <c r="L576" s="24"/>
      <c r="M576" s="25"/>
      <c r="N576" s="24"/>
      <c r="O576" s="26"/>
      <c r="P576" s="24"/>
      <c r="V576" s="23"/>
      <c r="W576" s="27"/>
      <c r="X576" s="27"/>
      <c r="Y576" s="28"/>
      <c r="Z576" s="27"/>
      <c r="AA576" s="27"/>
      <c r="AB576" s="27"/>
      <c r="AC576" s="28"/>
      <c r="AD576" s="29"/>
      <c r="AE576" s="29"/>
      <c r="AF576" s="29"/>
      <c r="AG576" s="28"/>
      <c r="AH576" s="29"/>
      <c r="AI576" s="29"/>
      <c r="AJ576" s="29"/>
    </row>
    <row r="577">
      <c r="C577" s="23"/>
      <c r="L577" s="24"/>
      <c r="M577" s="25"/>
      <c r="N577" s="24"/>
      <c r="O577" s="26"/>
      <c r="P577" s="24"/>
      <c r="V577" s="23"/>
      <c r="W577" s="27"/>
      <c r="X577" s="27"/>
      <c r="Y577" s="28"/>
      <c r="Z577" s="27"/>
      <c r="AA577" s="27"/>
      <c r="AB577" s="27"/>
      <c r="AC577" s="28"/>
      <c r="AD577" s="29"/>
      <c r="AE577" s="29"/>
      <c r="AF577" s="29"/>
      <c r="AG577" s="28"/>
      <c r="AH577" s="29"/>
      <c r="AI577" s="29"/>
      <c r="AJ577" s="29"/>
    </row>
    <row r="578">
      <c r="C578" s="23"/>
      <c r="L578" s="24"/>
      <c r="M578" s="25"/>
      <c r="N578" s="24"/>
      <c r="O578" s="26"/>
      <c r="P578" s="24"/>
      <c r="V578" s="23"/>
      <c r="W578" s="27"/>
      <c r="X578" s="27"/>
      <c r="Y578" s="28"/>
      <c r="Z578" s="27"/>
      <c r="AA578" s="27"/>
      <c r="AB578" s="27"/>
      <c r="AC578" s="28"/>
      <c r="AD578" s="29"/>
      <c r="AE578" s="29"/>
      <c r="AF578" s="29"/>
      <c r="AG578" s="28"/>
      <c r="AH578" s="29"/>
      <c r="AI578" s="29"/>
      <c r="AJ578" s="29"/>
    </row>
    <row r="579">
      <c r="C579" s="23"/>
      <c r="L579" s="24"/>
      <c r="M579" s="25"/>
      <c r="N579" s="24"/>
      <c r="O579" s="26"/>
      <c r="P579" s="24"/>
      <c r="V579" s="23"/>
      <c r="W579" s="27"/>
      <c r="X579" s="27"/>
      <c r="Y579" s="28"/>
      <c r="Z579" s="27"/>
      <c r="AA579" s="27"/>
      <c r="AB579" s="27"/>
      <c r="AC579" s="28"/>
      <c r="AD579" s="29"/>
      <c r="AE579" s="29"/>
      <c r="AF579" s="29"/>
      <c r="AG579" s="28"/>
      <c r="AH579" s="29"/>
      <c r="AI579" s="29"/>
      <c r="AJ579" s="29"/>
    </row>
    <row r="580">
      <c r="C580" s="23"/>
      <c r="L580" s="24"/>
      <c r="M580" s="25"/>
      <c r="N580" s="24"/>
      <c r="O580" s="26"/>
      <c r="P580" s="24"/>
      <c r="V580" s="23"/>
      <c r="W580" s="27"/>
      <c r="X580" s="27"/>
      <c r="Y580" s="28"/>
      <c r="Z580" s="27"/>
      <c r="AA580" s="27"/>
      <c r="AB580" s="27"/>
      <c r="AC580" s="28"/>
      <c r="AD580" s="29"/>
      <c r="AE580" s="29"/>
      <c r="AF580" s="29"/>
      <c r="AG580" s="28"/>
      <c r="AH580" s="29"/>
      <c r="AI580" s="29"/>
      <c r="AJ580" s="29"/>
    </row>
    <row r="581">
      <c r="C581" s="23"/>
      <c r="L581" s="24"/>
      <c r="M581" s="25"/>
      <c r="N581" s="24"/>
      <c r="O581" s="26"/>
      <c r="P581" s="24"/>
      <c r="V581" s="23"/>
      <c r="W581" s="27"/>
      <c r="X581" s="27"/>
      <c r="Y581" s="28"/>
      <c r="Z581" s="27"/>
      <c r="AA581" s="27"/>
      <c r="AB581" s="27"/>
      <c r="AC581" s="28"/>
      <c r="AD581" s="29"/>
      <c r="AE581" s="29"/>
      <c r="AF581" s="29"/>
      <c r="AG581" s="28"/>
      <c r="AH581" s="29"/>
      <c r="AI581" s="29"/>
      <c r="AJ581" s="29"/>
    </row>
    <row r="582">
      <c r="C582" s="23"/>
      <c r="L582" s="24"/>
      <c r="M582" s="25"/>
      <c r="N582" s="24"/>
      <c r="O582" s="26"/>
      <c r="P582" s="24"/>
      <c r="V582" s="23"/>
      <c r="W582" s="27"/>
      <c r="X582" s="27"/>
      <c r="Y582" s="28"/>
      <c r="Z582" s="27"/>
      <c r="AA582" s="27"/>
      <c r="AB582" s="27"/>
      <c r="AC582" s="28"/>
      <c r="AD582" s="29"/>
      <c r="AE582" s="29"/>
      <c r="AF582" s="29"/>
      <c r="AG582" s="28"/>
      <c r="AH582" s="29"/>
      <c r="AI582" s="29"/>
      <c r="AJ582" s="29"/>
    </row>
    <row r="583">
      <c r="C583" s="23"/>
      <c r="L583" s="24"/>
      <c r="M583" s="25"/>
      <c r="N583" s="24"/>
      <c r="O583" s="26"/>
      <c r="P583" s="24"/>
      <c r="V583" s="23"/>
      <c r="W583" s="27"/>
      <c r="X583" s="27"/>
      <c r="Y583" s="28"/>
      <c r="Z583" s="27"/>
      <c r="AA583" s="27"/>
      <c r="AB583" s="27"/>
      <c r="AC583" s="28"/>
      <c r="AD583" s="29"/>
      <c r="AE583" s="29"/>
      <c r="AF583" s="29"/>
      <c r="AG583" s="28"/>
      <c r="AH583" s="29"/>
      <c r="AI583" s="29"/>
      <c r="AJ583" s="29"/>
    </row>
    <row r="584">
      <c r="C584" s="23"/>
      <c r="L584" s="24"/>
      <c r="M584" s="25"/>
      <c r="N584" s="24"/>
      <c r="O584" s="26"/>
      <c r="P584" s="24"/>
      <c r="V584" s="23"/>
      <c r="W584" s="27"/>
      <c r="X584" s="27"/>
      <c r="Y584" s="28"/>
      <c r="Z584" s="27"/>
      <c r="AA584" s="27"/>
      <c r="AB584" s="27"/>
      <c r="AC584" s="28"/>
      <c r="AD584" s="29"/>
      <c r="AE584" s="29"/>
      <c r="AF584" s="29"/>
      <c r="AG584" s="28"/>
      <c r="AH584" s="29"/>
      <c r="AI584" s="29"/>
      <c r="AJ584" s="29"/>
    </row>
    <row r="585">
      <c r="C585" s="23"/>
      <c r="L585" s="24"/>
      <c r="M585" s="25"/>
      <c r="N585" s="24"/>
      <c r="O585" s="26"/>
      <c r="P585" s="24"/>
      <c r="V585" s="23"/>
      <c r="W585" s="27"/>
      <c r="X585" s="27"/>
      <c r="Y585" s="28"/>
      <c r="Z585" s="27"/>
      <c r="AA585" s="27"/>
      <c r="AB585" s="27"/>
      <c r="AC585" s="28"/>
      <c r="AD585" s="29"/>
      <c r="AE585" s="29"/>
      <c r="AF585" s="29"/>
      <c r="AG585" s="28"/>
      <c r="AH585" s="29"/>
      <c r="AI585" s="29"/>
      <c r="AJ585" s="29"/>
    </row>
    <row r="586">
      <c r="C586" s="23"/>
      <c r="L586" s="24"/>
      <c r="M586" s="25"/>
      <c r="N586" s="24"/>
      <c r="O586" s="26"/>
      <c r="P586" s="24"/>
      <c r="V586" s="23"/>
      <c r="W586" s="27"/>
      <c r="X586" s="27"/>
      <c r="Y586" s="28"/>
      <c r="Z586" s="27"/>
      <c r="AA586" s="27"/>
      <c r="AB586" s="27"/>
      <c r="AC586" s="28"/>
      <c r="AD586" s="29"/>
      <c r="AE586" s="29"/>
      <c r="AF586" s="29"/>
      <c r="AG586" s="28"/>
      <c r="AH586" s="29"/>
      <c r="AI586" s="29"/>
      <c r="AJ586" s="29"/>
    </row>
    <row r="587">
      <c r="C587" s="23"/>
      <c r="L587" s="24"/>
      <c r="M587" s="25"/>
      <c r="N587" s="24"/>
      <c r="O587" s="26"/>
      <c r="P587" s="24"/>
      <c r="V587" s="23"/>
      <c r="W587" s="27"/>
      <c r="X587" s="27"/>
      <c r="Y587" s="28"/>
      <c r="Z587" s="27"/>
      <c r="AA587" s="27"/>
      <c r="AB587" s="27"/>
      <c r="AC587" s="28"/>
      <c r="AD587" s="29"/>
      <c r="AE587" s="29"/>
      <c r="AF587" s="29"/>
      <c r="AG587" s="28"/>
      <c r="AH587" s="29"/>
      <c r="AI587" s="29"/>
      <c r="AJ587" s="29"/>
    </row>
    <row r="588">
      <c r="C588" s="23"/>
      <c r="L588" s="24"/>
      <c r="M588" s="25"/>
      <c r="N588" s="24"/>
      <c r="O588" s="26"/>
      <c r="P588" s="24"/>
      <c r="V588" s="23"/>
      <c r="W588" s="27"/>
      <c r="X588" s="27"/>
      <c r="Y588" s="28"/>
      <c r="Z588" s="27"/>
      <c r="AA588" s="27"/>
      <c r="AB588" s="27"/>
      <c r="AC588" s="28"/>
      <c r="AD588" s="29"/>
      <c r="AE588" s="29"/>
      <c r="AF588" s="29"/>
      <c r="AG588" s="28"/>
      <c r="AH588" s="29"/>
      <c r="AI588" s="29"/>
      <c r="AJ588" s="29"/>
    </row>
    <row r="589">
      <c r="C589" s="23"/>
      <c r="L589" s="24"/>
      <c r="M589" s="25"/>
      <c r="N589" s="24"/>
      <c r="O589" s="26"/>
      <c r="P589" s="24"/>
      <c r="V589" s="23"/>
      <c r="W589" s="27"/>
      <c r="X589" s="27"/>
      <c r="Y589" s="28"/>
      <c r="Z589" s="27"/>
      <c r="AA589" s="27"/>
      <c r="AB589" s="27"/>
      <c r="AC589" s="28"/>
      <c r="AD589" s="29"/>
      <c r="AE589" s="29"/>
      <c r="AF589" s="29"/>
      <c r="AG589" s="28"/>
      <c r="AH589" s="29"/>
      <c r="AI589" s="29"/>
      <c r="AJ589" s="29"/>
    </row>
    <row r="590">
      <c r="C590" s="23"/>
      <c r="L590" s="24"/>
      <c r="M590" s="25"/>
      <c r="N590" s="24"/>
      <c r="O590" s="26"/>
      <c r="P590" s="24"/>
      <c r="V590" s="23"/>
      <c r="W590" s="27"/>
      <c r="X590" s="27"/>
      <c r="Y590" s="28"/>
      <c r="Z590" s="27"/>
      <c r="AA590" s="27"/>
      <c r="AB590" s="27"/>
      <c r="AC590" s="28"/>
      <c r="AD590" s="29"/>
      <c r="AE590" s="29"/>
      <c r="AF590" s="29"/>
      <c r="AG590" s="28"/>
      <c r="AH590" s="29"/>
      <c r="AI590" s="29"/>
      <c r="AJ590" s="29"/>
    </row>
    <row r="591">
      <c r="C591" s="23"/>
      <c r="L591" s="24"/>
      <c r="M591" s="25"/>
      <c r="N591" s="24"/>
      <c r="O591" s="26"/>
      <c r="P591" s="24"/>
      <c r="V591" s="23"/>
      <c r="W591" s="27"/>
      <c r="X591" s="27"/>
      <c r="Y591" s="28"/>
      <c r="Z591" s="27"/>
      <c r="AA591" s="27"/>
      <c r="AB591" s="27"/>
      <c r="AC591" s="28"/>
      <c r="AD591" s="29"/>
      <c r="AE591" s="29"/>
      <c r="AF591" s="29"/>
      <c r="AG591" s="28"/>
      <c r="AH591" s="29"/>
      <c r="AI591" s="29"/>
      <c r="AJ591" s="29"/>
    </row>
    <row r="592">
      <c r="C592" s="23"/>
      <c r="L592" s="24"/>
      <c r="M592" s="25"/>
      <c r="N592" s="24"/>
      <c r="O592" s="26"/>
      <c r="P592" s="24"/>
      <c r="V592" s="23"/>
      <c r="W592" s="27"/>
      <c r="X592" s="27"/>
      <c r="Y592" s="28"/>
      <c r="Z592" s="27"/>
      <c r="AA592" s="27"/>
      <c r="AB592" s="27"/>
      <c r="AC592" s="28"/>
      <c r="AD592" s="29"/>
      <c r="AE592" s="29"/>
      <c r="AF592" s="29"/>
      <c r="AG592" s="28"/>
      <c r="AH592" s="29"/>
      <c r="AI592" s="29"/>
      <c r="AJ592" s="29"/>
    </row>
    <row r="593">
      <c r="C593" s="23"/>
      <c r="L593" s="24"/>
      <c r="M593" s="25"/>
      <c r="N593" s="24"/>
      <c r="O593" s="26"/>
      <c r="P593" s="24"/>
      <c r="V593" s="23"/>
      <c r="W593" s="27"/>
      <c r="X593" s="27"/>
      <c r="Y593" s="28"/>
      <c r="Z593" s="27"/>
      <c r="AA593" s="27"/>
      <c r="AB593" s="27"/>
      <c r="AC593" s="28"/>
      <c r="AD593" s="29"/>
      <c r="AE593" s="29"/>
      <c r="AF593" s="29"/>
      <c r="AG593" s="28"/>
      <c r="AH593" s="29"/>
      <c r="AI593" s="29"/>
      <c r="AJ593" s="29"/>
    </row>
    <row r="594">
      <c r="C594" s="23"/>
      <c r="L594" s="24"/>
      <c r="M594" s="25"/>
      <c r="N594" s="24"/>
      <c r="O594" s="26"/>
      <c r="P594" s="24"/>
      <c r="V594" s="23"/>
      <c r="W594" s="27"/>
      <c r="X594" s="27"/>
      <c r="Y594" s="28"/>
      <c r="Z594" s="27"/>
      <c r="AA594" s="27"/>
      <c r="AB594" s="27"/>
      <c r="AC594" s="28"/>
      <c r="AD594" s="29"/>
      <c r="AE594" s="29"/>
      <c r="AF594" s="29"/>
      <c r="AG594" s="28"/>
      <c r="AH594" s="29"/>
      <c r="AI594" s="29"/>
      <c r="AJ594" s="29"/>
    </row>
    <row r="595">
      <c r="C595" s="23"/>
      <c r="L595" s="24"/>
      <c r="M595" s="25"/>
      <c r="N595" s="24"/>
      <c r="O595" s="26"/>
      <c r="P595" s="24"/>
      <c r="V595" s="23"/>
      <c r="W595" s="27"/>
      <c r="X595" s="27"/>
      <c r="Y595" s="28"/>
      <c r="Z595" s="27"/>
      <c r="AA595" s="27"/>
      <c r="AB595" s="27"/>
      <c r="AC595" s="28"/>
      <c r="AD595" s="29"/>
      <c r="AE595" s="29"/>
      <c r="AF595" s="29"/>
      <c r="AG595" s="28"/>
      <c r="AH595" s="29"/>
      <c r="AI595" s="29"/>
      <c r="AJ595" s="29"/>
    </row>
    <row r="596">
      <c r="C596" s="23"/>
      <c r="L596" s="24"/>
      <c r="M596" s="25"/>
      <c r="N596" s="24"/>
      <c r="O596" s="26"/>
      <c r="P596" s="24"/>
      <c r="V596" s="23"/>
      <c r="W596" s="27"/>
      <c r="X596" s="27"/>
      <c r="Y596" s="28"/>
      <c r="Z596" s="27"/>
      <c r="AA596" s="27"/>
      <c r="AB596" s="27"/>
      <c r="AC596" s="28"/>
      <c r="AD596" s="29"/>
      <c r="AE596" s="29"/>
      <c r="AF596" s="29"/>
      <c r="AG596" s="28"/>
      <c r="AH596" s="29"/>
      <c r="AI596" s="29"/>
      <c r="AJ596" s="29"/>
    </row>
    <row r="597">
      <c r="C597" s="23"/>
      <c r="L597" s="24"/>
      <c r="M597" s="25"/>
      <c r="N597" s="24"/>
      <c r="O597" s="26"/>
      <c r="P597" s="24"/>
      <c r="V597" s="23"/>
      <c r="W597" s="27"/>
      <c r="X597" s="27"/>
      <c r="Y597" s="28"/>
      <c r="Z597" s="27"/>
      <c r="AA597" s="27"/>
      <c r="AB597" s="27"/>
      <c r="AC597" s="28"/>
      <c r="AD597" s="29"/>
      <c r="AE597" s="29"/>
      <c r="AF597" s="29"/>
      <c r="AG597" s="28"/>
      <c r="AH597" s="29"/>
      <c r="AI597" s="29"/>
      <c r="AJ597" s="29"/>
    </row>
    <row r="598">
      <c r="C598" s="23"/>
      <c r="L598" s="24"/>
      <c r="M598" s="25"/>
      <c r="N598" s="24"/>
      <c r="O598" s="26"/>
      <c r="P598" s="24"/>
      <c r="V598" s="23"/>
      <c r="W598" s="27"/>
      <c r="X598" s="27"/>
      <c r="Y598" s="28"/>
      <c r="Z598" s="27"/>
      <c r="AA598" s="27"/>
      <c r="AB598" s="27"/>
      <c r="AC598" s="28"/>
      <c r="AD598" s="29"/>
      <c r="AE598" s="29"/>
      <c r="AF598" s="29"/>
      <c r="AG598" s="28"/>
      <c r="AH598" s="29"/>
      <c r="AI598" s="29"/>
      <c r="AJ598" s="29"/>
    </row>
    <row r="599">
      <c r="C599" s="23"/>
      <c r="L599" s="24"/>
      <c r="M599" s="25"/>
      <c r="N599" s="24"/>
      <c r="O599" s="26"/>
      <c r="P599" s="24"/>
      <c r="V599" s="23"/>
      <c r="W599" s="27"/>
      <c r="X599" s="27"/>
      <c r="Y599" s="28"/>
      <c r="Z599" s="27"/>
      <c r="AA599" s="27"/>
      <c r="AB599" s="27"/>
      <c r="AC599" s="28"/>
      <c r="AD599" s="29"/>
      <c r="AE599" s="29"/>
      <c r="AF599" s="29"/>
      <c r="AG599" s="28"/>
      <c r="AH599" s="29"/>
      <c r="AI599" s="29"/>
      <c r="AJ599" s="29"/>
    </row>
    <row r="600">
      <c r="C600" s="23"/>
      <c r="L600" s="24"/>
      <c r="M600" s="25"/>
      <c r="N600" s="24"/>
      <c r="O600" s="26"/>
      <c r="P600" s="24"/>
      <c r="V600" s="23"/>
      <c r="W600" s="27"/>
      <c r="X600" s="27"/>
      <c r="Y600" s="28"/>
      <c r="Z600" s="27"/>
      <c r="AA600" s="27"/>
      <c r="AB600" s="27"/>
      <c r="AC600" s="28"/>
      <c r="AD600" s="29"/>
      <c r="AE600" s="29"/>
      <c r="AF600" s="29"/>
      <c r="AG600" s="28"/>
      <c r="AH600" s="29"/>
      <c r="AI600" s="29"/>
      <c r="AJ600" s="29"/>
    </row>
    <row r="601">
      <c r="C601" s="23"/>
      <c r="L601" s="24"/>
      <c r="M601" s="25"/>
      <c r="N601" s="24"/>
      <c r="O601" s="26"/>
      <c r="P601" s="24"/>
      <c r="V601" s="23"/>
      <c r="W601" s="27"/>
      <c r="X601" s="27"/>
      <c r="Y601" s="28"/>
      <c r="Z601" s="27"/>
      <c r="AA601" s="27"/>
      <c r="AB601" s="27"/>
      <c r="AC601" s="28"/>
      <c r="AD601" s="29"/>
      <c r="AE601" s="29"/>
      <c r="AF601" s="29"/>
      <c r="AG601" s="28"/>
      <c r="AH601" s="29"/>
      <c r="AI601" s="29"/>
      <c r="AJ601" s="29"/>
    </row>
    <row r="602">
      <c r="C602" s="23"/>
      <c r="L602" s="24"/>
      <c r="M602" s="25"/>
      <c r="N602" s="24"/>
      <c r="O602" s="26"/>
      <c r="P602" s="24"/>
      <c r="V602" s="23"/>
      <c r="W602" s="27"/>
      <c r="X602" s="27"/>
      <c r="Y602" s="28"/>
      <c r="Z602" s="27"/>
      <c r="AA602" s="27"/>
      <c r="AB602" s="27"/>
      <c r="AC602" s="28"/>
      <c r="AD602" s="29"/>
      <c r="AE602" s="29"/>
      <c r="AF602" s="29"/>
      <c r="AG602" s="28"/>
      <c r="AH602" s="29"/>
      <c r="AI602" s="29"/>
      <c r="AJ602" s="29"/>
    </row>
    <row r="603">
      <c r="C603" s="23"/>
      <c r="L603" s="24"/>
      <c r="M603" s="25"/>
      <c r="N603" s="24"/>
      <c r="O603" s="26"/>
      <c r="P603" s="24"/>
      <c r="V603" s="23"/>
      <c r="W603" s="27"/>
      <c r="X603" s="27"/>
      <c r="Y603" s="28"/>
      <c r="Z603" s="27"/>
      <c r="AA603" s="27"/>
      <c r="AB603" s="27"/>
      <c r="AC603" s="28"/>
      <c r="AD603" s="29"/>
      <c r="AE603" s="29"/>
      <c r="AF603" s="29"/>
      <c r="AG603" s="28"/>
      <c r="AH603" s="29"/>
      <c r="AI603" s="29"/>
      <c r="AJ603" s="29"/>
    </row>
    <row r="604">
      <c r="C604" s="23"/>
      <c r="L604" s="24"/>
      <c r="M604" s="25"/>
      <c r="N604" s="24"/>
      <c r="O604" s="26"/>
      <c r="P604" s="24"/>
      <c r="V604" s="23"/>
      <c r="W604" s="27"/>
      <c r="X604" s="27"/>
      <c r="Y604" s="28"/>
      <c r="Z604" s="27"/>
      <c r="AA604" s="27"/>
      <c r="AB604" s="27"/>
      <c r="AC604" s="28"/>
      <c r="AD604" s="29"/>
      <c r="AE604" s="29"/>
      <c r="AF604" s="29"/>
      <c r="AG604" s="28"/>
      <c r="AH604" s="29"/>
      <c r="AI604" s="29"/>
      <c r="AJ604" s="29"/>
    </row>
    <row r="605">
      <c r="C605" s="23"/>
      <c r="L605" s="24"/>
      <c r="M605" s="25"/>
      <c r="N605" s="24"/>
      <c r="O605" s="26"/>
      <c r="P605" s="24"/>
      <c r="V605" s="23"/>
      <c r="W605" s="27"/>
      <c r="X605" s="27"/>
      <c r="Y605" s="28"/>
      <c r="Z605" s="27"/>
      <c r="AA605" s="27"/>
      <c r="AB605" s="27"/>
      <c r="AC605" s="28"/>
      <c r="AD605" s="29"/>
      <c r="AE605" s="29"/>
      <c r="AF605" s="29"/>
      <c r="AG605" s="28"/>
      <c r="AH605" s="29"/>
      <c r="AI605" s="29"/>
      <c r="AJ605" s="29"/>
    </row>
    <row r="606">
      <c r="C606" s="23"/>
      <c r="L606" s="24"/>
      <c r="M606" s="25"/>
      <c r="N606" s="24"/>
      <c r="O606" s="26"/>
      <c r="P606" s="24"/>
      <c r="V606" s="23"/>
      <c r="W606" s="27"/>
      <c r="X606" s="27"/>
      <c r="Y606" s="28"/>
      <c r="Z606" s="27"/>
      <c r="AA606" s="27"/>
      <c r="AB606" s="27"/>
      <c r="AC606" s="28"/>
      <c r="AD606" s="29"/>
      <c r="AE606" s="29"/>
      <c r="AF606" s="29"/>
      <c r="AG606" s="28"/>
      <c r="AH606" s="29"/>
      <c r="AI606" s="29"/>
      <c r="AJ606" s="29"/>
    </row>
    <row r="607">
      <c r="C607" s="23"/>
      <c r="L607" s="24"/>
      <c r="M607" s="25"/>
      <c r="N607" s="24"/>
      <c r="O607" s="26"/>
      <c r="P607" s="24"/>
      <c r="V607" s="23"/>
      <c r="W607" s="27"/>
      <c r="X607" s="27"/>
      <c r="Y607" s="28"/>
      <c r="Z607" s="27"/>
      <c r="AA607" s="27"/>
      <c r="AB607" s="27"/>
      <c r="AC607" s="28"/>
      <c r="AD607" s="29"/>
      <c r="AE607" s="29"/>
      <c r="AF607" s="29"/>
      <c r="AG607" s="28"/>
      <c r="AH607" s="29"/>
      <c r="AI607" s="29"/>
      <c r="AJ607" s="29"/>
    </row>
    <row r="608">
      <c r="C608" s="23"/>
      <c r="L608" s="24"/>
      <c r="M608" s="25"/>
      <c r="N608" s="24"/>
      <c r="O608" s="26"/>
      <c r="P608" s="24"/>
      <c r="V608" s="23"/>
      <c r="W608" s="27"/>
      <c r="X608" s="27"/>
      <c r="Y608" s="28"/>
      <c r="Z608" s="27"/>
      <c r="AA608" s="27"/>
      <c r="AB608" s="27"/>
      <c r="AC608" s="28"/>
      <c r="AD608" s="29"/>
      <c r="AE608" s="29"/>
      <c r="AF608" s="29"/>
      <c r="AG608" s="28"/>
      <c r="AH608" s="29"/>
      <c r="AI608" s="29"/>
      <c r="AJ608" s="29"/>
    </row>
    <row r="609">
      <c r="C609" s="23"/>
      <c r="L609" s="24"/>
      <c r="M609" s="25"/>
      <c r="N609" s="24"/>
      <c r="O609" s="26"/>
      <c r="P609" s="24"/>
      <c r="V609" s="23"/>
      <c r="W609" s="27"/>
      <c r="X609" s="27"/>
      <c r="Y609" s="28"/>
      <c r="Z609" s="27"/>
      <c r="AA609" s="27"/>
      <c r="AB609" s="27"/>
      <c r="AC609" s="28"/>
      <c r="AD609" s="29"/>
      <c r="AE609" s="29"/>
      <c r="AF609" s="29"/>
      <c r="AG609" s="28"/>
      <c r="AH609" s="29"/>
      <c r="AI609" s="29"/>
      <c r="AJ609" s="29"/>
    </row>
    <row r="610">
      <c r="C610" s="23"/>
      <c r="L610" s="24"/>
      <c r="M610" s="25"/>
      <c r="N610" s="24"/>
      <c r="O610" s="26"/>
      <c r="P610" s="24"/>
      <c r="V610" s="23"/>
      <c r="W610" s="27"/>
      <c r="X610" s="27"/>
      <c r="Y610" s="28"/>
      <c r="Z610" s="27"/>
      <c r="AA610" s="27"/>
      <c r="AB610" s="27"/>
      <c r="AC610" s="28"/>
      <c r="AD610" s="29"/>
      <c r="AE610" s="29"/>
      <c r="AF610" s="29"/>
      <c r="AG610" s="28"/>
      <c r="AH610" s="29"/>
      <c r="AI610" s="29"/>
      <c r="AJ610" s="29"/>
    </row>
    <row r="611">
      <c r="C611" s="23"/>
      <c r="L611" s="24"/>
      <c r="M611" s="25"/>
      <c r="N611" s="24"/>
      <c r="O611" s="26"/>
      <c r="P611" s="24"/>
      <c r="V611" s="23"/>
      <c r="W611" s="27"/>
      <c r="X611" s="27"/>
      <c r="Y611" s="28"/>
      <c r="Z611" s="27"/>
      <c r="AA611" s="27"/>
      <c r="AB611" s="27"/>
      <c r="AC611" s="28"/>
      <c r="AD611" s="29"/>
      <c r="AE611" s="29"/>
      <c r="AF611" s="29"/>
      <c r="AG611" s="28"/>
      <c r="AH611" s="29"/>
      <c r="AI611" s="29"/>
      <c r="AJ611" s="29"/>
    </row>
    <row r="612">
      <c r="C612" s="23"/>
      <c r="L612" s="24"/>
      <c r="M612" s="25"/>
      <c r="N612" s="24"/>
      <c r="O612" s="26"/>
      <c r="P612" s="24"/>
      <c r="V612" s="23"/>
      <c r="W612" s="27"/>
      <c r="X612" s="27"/>
      <c r="Y612" s="28"/>
      <c r="Z612" s="27"/>
      <c r="AA612" s="27"/>
      <c r="AB612" s="27"/>
      <c r="AC612" s="28"/>
      <c r="AD612" s="29"/>
      <c r="AE612" s="29"/>
      <c r="AF612" s="29"/>
      <c r="AG612" s="28"/>
      <c r="AH612" s="29"/>
      <c r="AI612" s="29"/>
      <c r="AJ612" s="29"/>
    </row>
    <row r="613">
      <c r="C613" s="23"/>
      <c r="L613" s="24"/>
      <c r="M613" s="25"/>
      <c r="N613" s="24"/>
      <c r="O613" s="26"/>
      <c r="P613" s="24"/>
      <c r="V613" s="23"/>
      <c r="W613" s="27"/>
      <c r="X613" s="27"/>
      <c r="Y613" s="28"/>
      <c r="Z613" s="27"/>
      <c r="AA613" s="27"/>
      <c r="AB613" s="27"/>
      <c r="AC613" s="28"/>
      <c r="AD613" s="29"/>
      <c r="AE613" s="29"/>
      <c r="AF613" s="29"/>
      <c r="AG613" s="28"/>
      <c r="AH613" s="29"/>
      <c r="AI613" s="29"/>
      <c r="AJ613" s="29"/>
    </row>
    <row r="614">
      <c r="C614" s="23"/>
      <c r="L614" s="24"/>
      <c r="M614" s="25"/>
      <c r="N614" s="24"/>
      <c r="O614" s="26"/>
      <c r="P614" s="24"/>
      <c r="V614" s="23"/>
      <c r="W614" s="27"/>
      <c r="X614" s="27"/>
      <c r="Y614" s="28"/>
      <c r="Z614" s="27"/>
      <c r="AA614" s="27"/>
      <c r="AB614" s="27"/>
      <c r="AC614" s="28"/>
      <c r="AD614" s="29"/>
      <c r="AE614" s="29"/>
      <c r="AF614" s="29"/>
      <c r="AG614" s="28"/>
      <c r="AH614" s="29"/>
      <c r="AI614" s="29"/>
      <c r="AJ614" s="29"/>
    </row>
    <row r="615">
      <c r="C615" s="23"/>
      <c r="L615" s="24"/>
      <c r="M615" s="25"/>
      <c r="N615" s="24"/>
      <c r="O615" s="26"/>
      <c r="P615" s="24"/>
      <c r="V615" s="23"/>
      <c r="W615" s="27"/>
      <c r="X615" s="27"/>
      <c r="Y615" s="28"/>
      <c r="Z615" s="27"/>
      <c r="AA615" s="27"/>
      <c r="AB615" s="27"/>
      <c r="AC615" s="28"/>
      <c r="AD615" s="29"/>
      <c r="AE615" s="29"/>
      <c r="AF615" s="29"/>
      <c r="AG615" s="28"/>
      <c r="AH615" s="29"/>
      <c r="AI615" s="29"/>
      <c r="AJ615" s="29"/>
    </row>
    <row r="616">
      <c r="C616" s="23"/>
      <c r="L616" s="24"/>
      <c r="M616" s="25"/>
      <c r="N616" s="24"/>
      <c r="O616" s="26"/>
      <c r="P616" s="24"/>
      <c r="V616" s="23"/>
      <c r="W616" s="27"/>
      <c r="X616" s="27"/>
      <c r="Y616" s="28"/>
      <c r="Z616" s="27"/>
      <c r="AA616" s="27"/>
      <c r="AB616" s="27"/>
      <c r="AC616" s="28"/>
      <c r="AD616" s="29"/>
      <c r="AE616" s="29"/>
      <c r="AF616" s="29"/>
      <c r="AG616" s="28"/>
      <c r="AH616" s="29"/>
      <c r="AI616" s="29"/>
      <c r="AJ616" s="29"/>
    </row>
    <row r="617">
      <c r="C617" s="23"/>
      <c r="L617" s="24"/>
      <c r="M617" s="25"/>
      <c r="N617" s="24"/>
      <c r="O617" s="26"/>
      <c r="P617" s="24"/>
      <c r="V617" s="23"/>
      <c r="W617" s="27"/>
      <c r="X617" s="27"/>
      <c r="Y617" s="28"/>
      <c r="Z617" s="27"/>
      <c r="AA617" s="27"/>
      <c r="AB617" s="27"/>
      <c r="AC617" s="28"/>
      <c r="AD617" s="29"/>
      <c r="AE617" s="29"/>
      <c r="AF617" s="29"/>
      <c r="AG617" s="28"/>
      <c r="AH617" s="29"/>
      <c r="AI617" s="29"/>
      <c r="AJ617" s="29"/>
    </row>
    <row r="618">
      <c r="C618" s="23"/>
      <c r="L618" s="24"/>
      <c r="M618" s="25"/>
      <c r="N618" s="24"/>
      <c r="O618" s="26"/>
      <c r="P618" s="24"/>
      <c r="V618" s="23"/>
      <c r="W618" s="27"/>
      <c r="X618" s="27"/>
      <c r="Y618" s="28"/>
      <c r="Z618" s="27"/>
      <c r="AA618" s="27"/>
      <c r="AB618" s="27"/>
      <c r="AC618" s="28"/>
      <c r="AD618" s="29"/>
      <c r="AE618" s="29"/>
      <c r="AF618" s="29"/>
      <c r="AG618" s="28"/>
      <c r="AH618" s="29"/>
      <c r="AI618" s="29"/>
      <c r="AJ618" s="29"/>
    </row>
    <row r="619">
      <c r="C619" s="23"/>
      <c r="L619" s="24"/>
      <c r="M619" s="25"/>
      <c r="N619" s="24"/>
      <c r="O619" s="26"/>
      <c r="P619" s="24"/>
      <c r="V619" s="23"/>
      <c r="W619" s="27"/>
      <c r="X619" s="27"/>
      <c r="Y619" s="28"/>
      <c r="Z619" s="27"/>
      <c r="AA619" s="27"/>
      <c r="AB619" s="27"/>
      <c r="AC619" s="28"/>
      <c r="AD619" s="29"/>
      <c r="AE619" s="29"/>
      <c r="AF619" s="29"/>
      <c r="AG619" s="28"/>
      <c r="AH619" s="29"/>
      <c r="AI619" s="29"/>
      <c r="AJ619" s="29"/>
    </row>
    <row r="620">
      <c r="C620" s="23"/>
      <c r="L620" s="24"/>
      <c r="M620" s="25"/>
      <c r="N620" s="24"/>
      <c r="O620" s="26"/>
      <c r="P620" s="24"/>
      <c r="V620" s="23"/>
      <c r="W620" s="27"/>
      <c r="X620" s="27"/>
      <c r="Y620" s="28"/>
      <c r="Z620" s="27"/>
      <c r="AA620" s="27"/>
      <c r="AB620" s="27"/>
      <c r="AC620" s="28"/>
      <c r="AD620" s="29"/>
      <c r="AE620" s="29"/>
      <c r="AF620" s="29"/>
      <c r="AG620" s="28"/>
      <c r="AH620" s="29"/>
      <c r="AI620" s="29"/>
      <c r="AJ620" s="29"/>
    </row>
    <row r="621">
      <c r="C621" s="23"/>
      <c r="L621" s="24"/>
      <c r="M621" s="25"/>
      <c r="N621" s="24"/>
      <c r="O621" s="26"/>
      <c r="P621" s="24"/>
      <c r="V621" s="23"/>
      <c r="W621" s="27"/>
      <c r="X621" s="27"/>
      <c r="Y621" s="28"/>
      <c r="Z621" s="27"/>
      <c r="AA621" s="27"/>
      <c r="AB621" s="27"/>
      <c r="AC621" s="28"/>
      <c r="AD621" s="29"/>
      <c r="AE621" s="29"/>
      <c r="AF621" s="29"/>
      <c r="AG621" s="28"/>
      <c r="AH621" s="29"/>
      <c r="AI621" s="29"/>
      <c r="AJ621" s="29"/>
    </row>
    <row r="622">
      <c r="C622" s="23"/>
      <c r="L622" s="24"/>
      <c r="M622" s="25"/>
      <c r="N622" s="24"/>
      <c r="O622" s="26"/>
      <c r="P622" s="24"/>
      <c r="V622" s="23"/>
      <c r="W622" s="27"/>
      <c r="X622" s="27"/>
      <c r="Y622" s="28"/>
      <c r="Z622" s="27"/>
      <c r="AA622" s="27"/>
      <c r="AB622" s="27"/>
      <c r="AC622" s="28"/>
      <c r="AD622" s="29"/>
      <c r="AE622" s="29"/>
      <c r="AF622" s="29"/>
      <c r="AG622" s="28"/>
      <c r="AH622" s="29"/>
      <c r="AI622" s="29"/>
      <c r="AJ622" s="29"/>
    </row>
    <row r="623">
      <c r="C623" s="23"/>
      <c r="L623" s="24"/>
      <c r="M623" s="25"/>
      <c r="N623" s="24"/>
      <c r="O623" s="26"/>
      <c r="P623" s="24"/>
      <c r="V623" s="23"/>
      <c r="W623" s="27"/>
      <c r="X623" s="27"/>
      <c r="Y623" s="28"/>
      <c r="Z623" s="27"/>
      <c r="AA623" s="27"/>
      <c r="AB623" s="27"/>
      <c r="AC623" s="28"/>
      <c r="AD623" s="29"/>
      <c r="AE623" s="29"/>
      <c r="AF623" s="29"/>
      <c r="AG623" s="28"/>
      <c r="AH623" s="29"/>
      <c r="AI623" s="29"/>
      <c r="AJ623" s="29"/>
    </row>
    <row r="624">
      <c r="C624" s="23"/>
      <c r="L624" s="24"/>
      <c r="M624" s="25"/>
      <c r="N624" s="24"/>
      <c r="O624" s="26"/>
      <c r="P624" s="24"/>
      <c r="V624" s="23"/>
      <c r="W624" s="27"/>
      <c r="X624" s="27"/>
      <c r="Y624" s="28"/>
      <c r="Z624" s="27"/>
      <c r="AA624" s="27"/>
      <c r="AB624" s="27"/>
      <c r="AC624" s="28"/>
      <c r="AD624" s="29"/>
      <c r="AE624" s="29"/>
      <c r="AF624" s="29"/>
      <c r="AG624" s="28"/>
      <c r="AH624" s="29"/>
      <c r="AI624" s="29"/>
      <c r="AJ624" s="29"/>
    </row>
    <row r="625">
      <c r="C625" s="23"/>
      <c r="L625" s="24"/>
      <c r="M625" s="25"/>
      <c r="N625" s="24"/>
      <c r="O625" s="26"/>
      <c r="P625" s="24"/>
      <c r="V625" s="23"/>
      <c r="W625" s="27"/>
      <c r="X625" s="27"/>
      <c r="Y625" s="28"/>
      <c r="Z625" s="27"/>
      <c r="AA625" s="27"/>
      <c r="AB625" s="27"/>
      <c r="AC625" s="28"/>
      <c r="AD625" s="29"/>
      <c r="AE625" s="29"/>
      <c r="AF625" s="29"/>
      <c r="AG625" s="28"/>
      <c r="AH625" s="29"/>
      <c r="AI625" s="29"/>
      <c r="AJ625" s="29"/>
    </row>
    <row r="626">
      <c r="C626" s="23"/>
      <c r="L626" s="24"/>
      <c r="M626" s="25"/>
      <c r="N626" s="24"/>
      <c r="O626" s="26"/>
      <c r="P626" s="24"/>
      <c r="V626" s="23"/>
      <c r="W626" s="27"/>
      <c r="X626" s="27"/>
      <c r="Y626" s="28"/>
      <c r="Z626" s="27"/>
      <c r="AA626" s="27"/>
      <c r="AB626" s="27"/>
      <c r="AC626" s="28"/>
      <c r="AD626" s="29"/>
      <c r="AE626" s="29"/>
      <c r="AF626" s="29"/>
      <c r="AG626" s="28"/>
      <c r="AH626" s="29"/>
      <c r="AI626" s="29"/>
      <c r="AJ626" s="29"/>
    </row>
    <row r="627">
      <c r="C627" s="23"/>
      <c r="L627" s="24"/>
      <c r="M627" s="25"/>
      <c r="N627" s="24"/>
      <c r="O627" s="26"/>
      <c r="P627" s="24"/>
      <c r="V627" s="23"/>
      <c r="W627" s="27"/>
      <c r="X627" s="27"/>
      <c r="Y627" s="28"/>
      <c r="Z627" s="27"/>
      <c r="AA627" s="27"/>
      <c r="AB627" s="27"/>
      <c r="AC627" s="28"/>
      <c r="AD627" s="29"/>
      <c r="AE627" s="29"/>
      <c r="AF627" s="29"/>
      <c r="AG627" s="28"/>
      <c r="AH627" s="29"/>
      <c r="AI627" s="29"/>
      <c r="AJ627" s="29"/>
    </row>
    <row r="628">
      <c r="C628" s="23"/>
      <c r="L628" s="24"/>
      <c r="M628" s="25"/>
      <c r="N628" s="24"/>
      <c r="O628" s="26"/>
      <c r="P628" s="24"/>
      <c r="V628" s="23"/>
      <c r="W628" s="27"/>
      <c r="X628" s="27"/>
      <c r="Y628" s="28"/>
      <c r="Z628" s="27"/>
      <c r="AA628" s="27"/>
      <c r="AB628" s="27"/>
      <c r="AC628" s="28"/>
      <c r="AD628" s="29"/>
      <c r="AE628" s="29"/>
      <c r="AF628" s="29"/>
      <c r="AG628" s="28"/>
      <c r="AH628" s="29"/>
      <c r="AI628" s="29"/>
      <c r="AJ628" s="29"/>
    </row>
    <row r="629">
      <c r="C629" s="23"/>
      <c r="L629" s="24"/>
      <c r="M629" s="25"/>
      <c r="N629" s="24"/>
      <c r="O629" s="26"/>
      <c r="P629" s="24"/>
      <c r="V629" s="23"/>
      <c r="W629" s="27"/>
      <c r="X629" s="27"/>
      <c r="Y629" s="28"/>
      <c r="Z629" s="27"/>
      <c r="AA629" s="27"/>
      <c r="AB629" s="27"/>
      <c r="AC629" s="28"/>
      <c r="AD629" s="29"/>
      <c r="AE629" s="29"/>
      <c r="AF629" s="29"/>
      <c r="AG629" s="28"/>
      <c r="AH629" s="29"/>
      <c r="AI629" s="29"/>
      <c r="AJ629" s="29"/>
    </row>
    <row r="630">
      <c r="C630" s="23"/>
      <c r="L630" s="24"/>
      <c r="M630" s="25"/>
      <c r="N630" s="24"/>
      <c r="O630" s="26"/>
      <c r="P630" s="24"/>
      <c r="V630" s="23"/>
      <c r="W630" s="27"/>
      <c r="X630" s="27"/>
      <c r="Y630" s="28"/>
      <c r="Z630" s="27"/>
      <c r="AA630" s="27"/>
      <c r="AB630" s="27"/>
      <c r="AC630" s="28"/>
      <c r="AD630" s="29"/>
      <c r="AE630" s="29"/>
      <c r="AF630" s="29"/>
      <c r="AG630" s="28"/>
      <c r="AH630" s="29"/>
      <c r="AI630" s="29"/>
      <c r="AJ630" s="29"/>
    </row>
    <row r="631">
      <c r="C631" s="23"/>
      <c r="L631" s="24"/>
      <c r="M631" s="25"/>
      <c r="N631" s="24"/>
      <c r="O631" s="26"/>
      <c r="P631" s="24"/>
      <c r="V631" s="23"/>
      <c r="W631" s="27"/>
      <c r="X631" s="27"/>
      <c r="Y631" s="28"/>
      <c r="Z631" s="27"/>
      <c r="AA631" s="27"/>
      <c r="AB631" s="27"/>
      <c r="AC631" s="28"/>
      <c r="AD631" s="29"/>
      <c r="AE631" s="29"/>
      <c r="AF631" s="29"/>
      <c r="AG631" s="28"/>
      <c r="AH631" s="29"/>
      <c r="AI631" s="29"/>
      <c r="AJ631" s="29"/>
    </row>
    <row r="632">
      <c r="C632" s="23"/>
      <c r="L632" s="24"/>
      <c r="M632" s="25"/>
      <c r="N632" s="24"/>
      <c r="O632" s="26"/>
      <c r="P632" s="24"/>
      <c r="V632" s="23"/>
      <c r="W632" s="27"/>
      <c r="X632" s="27"/>
      <c r="Y632" s="28"/>
      <c r="Z632" s="27"/>
      <c r="AA632" s="27"/>
      <c r="AB632" s="27"/>
      <c r="AC632" s="28"/>
      <c r="AD632" s="29"/>
      <c r="AE632" s="29"/>
      <c r="AF632" s="29"/>
      <c r="AG632" s="28"/>
      <c r="AH632" s="29"/>
      <c r="AI632" s="29"/>
      <c r="AJ632" s="29"/>
    </row>
    <row r="633">
      <c r="C633" s="23"/>
      <c r="L633" s="24"/>
      <c r="M633" s="25"/>
      <c r="N633" s="24"/>
      <c r="O633" s="26"/>
      <c r="P633" s="24"/>
      <c r="V633" s="23"/>
      <c r="W633" s="27"/>
      <c r="X633" s="27"/>
      <c r="Y633" s="28"/>
      <c r="Z633" s="27"/>
      <c r="AA633" s="27"/>
      <c r="AB633" s="27"/>
      <c r="AC633" s="28"/>
      <c r="AD633" s="29"/>
      <c r="AE633" s="29"/>
      <c r="AF633" s="29"/>
      <c r="AG633" s="28"/>
      <c r="AH633" s="29"/>
      <c r="AI633" s="29"/>
      <c r="AJ633" s="29"/>
    </row>
    <row r="634">
      <c r="C634" s="23"/>
      <c r="L634" s="24"/>
      <c r="M634" s="25"/>
      <c r="N634" s="24"/>
      <c r="O634" s="26"/>
      <c r="P634" s="24"/>
      <c r="V634" s="23"/>
      <c r="W634" s="27"/>
      <c r="X634" s="27"/>
      <c r="Y634" s="28"/>
      <c r="Z634" s="27"/>
      <c r="AA634" s="27"/>
      <c r="AB634" s="27"/>
      <c r="AC634" s="28"/>
      <c r="AD634" s="29"/>
      <c r="AE634" s="29"/>
      <c r="AF634" s="29"/>
      <c r="AG634" s="28"/>
      <c r="AH634" s="29"/>
      <c r="AI634" s="29"/>
      <c r="AJ634" s="29"/>
    </row>
    <row r="635">
      <c r="C635" s="23"/>
      <c r="L635" s="24"/>
      <c r="M635" s="25"/>
      <c r="N635" s="24"/>
      <c r="O635" s="26"/>
      <c r="P635" s="24"/>
      <c r="V635" s="23"/>
      <c r="W635" s="27"/>
      <c r="X635" s="27"/>
      <c r="Y635" s="28"/>
      <c r="Z635" s="27"/>
      <c r="AA635" s="27"/>
      <c r="AB635" s="27"/>
      <c r="AC635" s="28"/>
      <c r="AD635" s="29"/>
      <c r="AE635" s="29"/>
      <c r="AF635" s="29"/>
      <c r="AG635" s="28"/>
      <c r="AH635" s="29"/>
      <c r="AI635" s="29"/>
      <c r="AJ635" s="29"/>
    </row>
    <row r="636">
      <c r="C636" s="23"/>
      <c r="L636" s="24"/>
      <c r="M636" s="25"/>
      <c r="N636" s="24"/>
      <c r="O636" s="26"/>
      <c r="P636" s="24"/>
      <c r="V636" s="23"/>
      <c r="W636" s="27"/>
      <c r="X636" s="27"/>
      <c r="Y636" s="28"/>
      <c r="Z636" s="27"/>
      <c r="AA636" s="27"/>
      <c r="AB636" s="27"/>
      <c r="AC636" s="28"/>
      <c r="AD636" s="29"/>
      <c r="AE636" s="29"/>
      <c r="AF636" s="29"/>
      <c r="AG636" s="28"/>
      <c r="AH636" s="29"/>
      <c r="AI636" s="29"/>
      <c r="AJ636" s="29"/>
    </row>
    <row r="637">
      <c r="C637" s="23"/>
      <c r="L637" s="24"/>
      <c r="M637" s="25"/>
      <c r="N637" s="24"/>
      <c r="O637" s="26"/>
      <c r="P637" s="24"/>
      <c r="V637" s="23"/>
      <c r="W637" s="27"/>
      <c r="X637" s="27"/>
      <c r="Y637" s="28"/>
      <c r="Z637" s="27"/>
      <c r="AA637" s="27"/>
      <c r="AB637" s="27"/>
      <c r="AC637" s="28"/>
      <c r="AD637" s="29"/>
      <c r="AE637" s="29"/>
      <c r="AF637" s="29"/>
      <c r="AG637" s="28"/>
      <c r="AH637" s="29"/>
      <c r="AI637" s="29"/>
      <c r="AJ637" s="29"/>
    </row>
    <row r="638">
      <c r="C638" s="23"/>
      <c r="L638" s="24"/>
      <c r="M638" s="25"/>
      <c r="N638" s="24"/>
      <c r="O638" s="26"/>
      <c r="P638" s="24"/>
      <c r="V638" s="23"/>
      <c r="W638" s="27"/>
      <c r="X638" s="27"/>
      <c r="Y638" s="28"/>
      <c r="Z638" s="27"/>
      <c r="AA638" s="27"/>
      <c r="AB638" s="27"/>
      <c r="AC638" s="28"/>
      <c r="AD638" s="29"/>
      <c r="AE638" s="29"/>
      <c r="AF638" s="29"/>
      <c r="AG638" s="28"/>
      <c r="AH638" s="29"/>
      <c r="AI638" s="29"/>
      <c r="AJ638" s="29"/>
    </row>
    <row r="639">
      <c r="C639" s="23"/>
      <c r="L639" s="24"/>
      <c r="M639" s="25"/>
      <c r="N639" s="24"/>
      <c r="O639" s="26"/>
      <c r="P639" s="24"/>
      <c r="V639" s="23"/>
      <c r="W639" s="27"/>
      <c r="X639" s="27"/>
      <c r="Y639" s="28"/>
      <c r="Z639" s="27"/>
      <c r="AA639" s="27"/>
      <c r="AB639" s="27"/>
      <c r="AC639" s="28"/>
      <c r="AD639" s="29"/>
      <c r="AE639" s="29"/>
      <c r="AF639" s="29"/>
      <c r="AG639" s="28"/>
      <c r="AH639" s="29"/>
      <c r="AI639" s="29"/>
      <c r="AJ639" s="29"/>
    </row>
    <row r="640">
      <c r="C640" s="23"/>
      <c r="L640" s="24"/>
      <c r="M640" s="25"/>
      <c r="N640" s="24"/>
      <c r="O640" s="26"/>
      <c r="P640" s="24"/>
      <c r="V640" s="23"/>
      <c r="W640" s="27"/>
      <c r="X640" s="27"/>
      <c r="Y640" s="28"/>
      <c r="Z640" s="27"/>
      <c r="AA640" s="27"/>
      <c r="AB640" s="27"/>
      <c r="AC640" s="28"/>
      <c r="AD640" s="29"/>
      <c r="AE640" s="29"/>
      <c r="AF640" s="29"/>
      <c r="AG640" s="28"/>
      <c r="AH640" s="29"/>
      <c r="AI640" s="29"/>
      <c r="AJ640" s="29"/>
    </row>
    <row r="641">
      <c r="C641" s="23"/>
      <c r="L641" s="24"/>
      <c r="M641" s="25"/>
      <c r="N641" s="24"/>
      <c r="O641" s="26"/>
      <c r="P641" s="24"/>
      <c r="V641" s="23"/>
      <c r="W641" s="27"/>
      <c r="X641" s="27"/>
      <c r="Y641" s="28"/>
      <c r="Z641" s="27"/>
      <c r="AA641" s="27"/>
      <c r="AB641" s="27"/>
      <c r="AC641" s="28"/>
      <c r="AD641" s="29"/>
      <c r="AE641" s="29"/>
      <c r="AF641" s="29"/>
      <c r="AG641" s="28"/>
      <c r="AH641" s="29"/>
      <c r="AI641" s="29"/>
      <c r="AJ641" s="29"/>
    </row>
    <row r="642">
      <c r="C642" s="23"/>
      <c r="L642" s="24"/>
      <c r="M642" s="25"/>
      <c r="N642" s="24"/>
      <c r="O642" s="26"/>
      <c r="P642" s="24"/>
      <c r="V642" s="23"/>
      <c r="W642" s="27"/>
      <c r="X642" s="27"/>
      <c r="Y642" s="28"/>
      <c r="Z642" s="27"/>
      <c r="AA642" s="27"/>
      <c r="AB642" s="27"/>
      <c r="AC642" s="28"/>
      <c r="AD642" s="29"/>
      <c r="AE642" s="29"/>
      <c r="AF642" s="29"/>
      <c r="AG642" s="28"/>
      <c r="AH642" s="29"/>
      <c r="AI642" s="29"/>
      <c r="AJ642" s="29"/>
    </row>
    <row r="643">
      <c r="C643" s="23"/>
      <c r="L643" s="24"/>
      <c r="M643" s="25"/>
      <c r="N643" s="24"/>
      <c r="O643" s="26"/>
      <c r="P643" s="24"/>
      <c r="V643" s="23"/>
      <c r="W643" s="27"/>
      <c r="X643" s="27"/>
      <c r="Y643" s="28"/>
      <c r="Z643" s="27"/>
      <c r="AA643" s="27"/>
      <c r="AB643" s="27"/>
      <c r="AC643" s="28"/>
      <c r="AD643" s="29"/>
      <c r="AE643" s="29"/>
      <c r="AF643" s="29"/>
      <c r="AG643" s="28"/>
      <c r="AH643" s="29"/>
      <c r="AI643" s="29"/>
      <c r="AJ643" s="29"/>
    </row>
    <row r="644">
      <c r="C644" s="23"/>
      <c r="L644" s="24"/>
      <c r="M644" s="25"/>
      <c r="N644" s="24"/>
      <c r="O644" s="26"/>
      <c r="P644" s="24"/>
      <c r="V644" s="23"/>
      <c r="W644" s="27"/>
      <c r="X644" s="27"/>
      <c r="Y644" s="28"/>
      <c r="Z644" s="27"/>
      <c r="AA644" s="27"/>
      <c r="AB644" s="27"/>
      <c r="AC644" s="28"/>
      <c r="AD644" s="29"/>
      <c r="AE644" s="29"/>
      <c r="AF644" s="29"/>
      <c r="AG644" s="28"/>
      <c r="AH644" s="29"/>
      <c r="AI644" s="29"/>
      <c r="AJ644" s="29"/>
    </row>
    <row r="645">
      <c r="C645" s="23"/>
      <c r="L645" s="24"/>
      <c r="M645" s="25"/>
      <c r="N645" s="24"/>
      <c r="O645" s="26"/>
      <c r="P645" s="24"/>
      <c r="V645" s="23"/>
      <c r="W645" s="27"/>
      <c r="X645" s="27"/>
      <c r="Y645" s="28"/>
      <c r="Z645" s="27"/>
      <c r="AA645" s="27"/>
      <c r="AB645" s="27"/>
      <c r="AC645" s="28"/>
      <c r="AD645" s="29"/>
      <c r="AE645" s="29"/>
      <c r="AF645" s="29"/>
      <c r="AG645" s="28"/>
      <c r="AH645" s="29"/>
      <c r="AI645" s="29"/>
      <c r="AJ645" s="29"/>
    </row>
    <row r="646">
      <c r="C646" s="23"/>
      <c r="L646" s="24"/>
      <c r="M646" s="25"/>
      <c r="N646" s="24"/>
      <c r="O646" s="26"/>
      <c r="P646" s="24"/>
      <c r="V646" s="23"/>
      <c r="W646" s="27"/>
      <c r="X646" s="27"/>
      <c r="Y646" s="28"/>
      <c r="Z646" s="27"/>
      <c r="AA646" s="27"/>
      <c r="AB646" s="27"/>
      <c r="AC646" s="28"/>
      <c r="AD646" s="29"/>
      <c r="AE646" s="29"/>
      <c r="AF646" s="29"/>
      <c r="AG646" s="28"/>
      <c r="AH646" s="29"/>
      <c r="AI646" s="29"/>
      <c r="AJ646" s="29"/>
    </row>
    <row r="647">
      <c r="C647" s="23"/>
      <c r="L647" s="24"/>
      <c r="M647" s="25"/>
      <c r="N647" s="24"/>
      <c r="O647" s="26"/>
      <c r="P647" s="24"/>
      <c r="V647" s="23"/>
      <c r="W647" s="27"/>
      <c r="X647" s="27"/>
      <c r="Y647" s="28"/>
      <c r="Z647" s="27"/>
      <c r="AA647" s="27"/>
      <c r="AB647" s="27"/>
      <c r="AC647" s="28"/>
      <c r="AD647" s="29"/>
      <c r="AE647" s="29"/>
      <c r="AF647" s="29"/>
      <c r="AG647" s="28"/>
      <c r="AH647" s="29"/>
      <c r="AI647" s="29"/>
      <c r="AJ647" s="29"/>
    </row>
    <row r="648">
      <c r="C648" s="23"/>
      <c r="L648" s="24"/>
      <c r="M648" s="25"/>
      <c r="N648" s="24"/>
      <c r="O648" s="26"/>
      <c r="P648" s="24"/>
      <c r="V648" s="23"/>
      <c r="W648" s="27"/>
      <c r="X648" s="27"/>
      <c r="Y648" s="28"/>
      <c r="Z648" s="27"/>
      <c r="AA648" s="27"/>
      <c r="AB648" s="27"/>
      <c r="AC648" s="28"/>
      <c r="AD648" s="29"/>
      <c r="AE648" s="29"/>
      <c r="AF648" s="29"/>
      <c r="AG648" s="28"/>
      <c r="AH648" s="29"/>
      <c r="AI648" s="29"/>
      <c r="AJ648" s="29"/>
    </row>
    <row r="649">
      <c r="C649" s="23"/>
      <c r="L649" s="24"/>
      <c r="M649" s="25"/>
      <c r="N649" s="24"/>
      <c r="O649" s="26"/>
      <c r="P649" s="24"/>
      <c r="V649" s="23"/>
      <c r="W649" s="27"/>
      <c r="X649" s="27"/>
      <c r="Y649" s="28"/>
      <c r="Z649" s="27"/>
      <c r="AA649" s="27"/>
      <c r="AB649" s="27"/>
      <c r="AC649" s="28"/>
      <c r="AD649" s="29"/>
      <c r="AE649" s="29"/>
      <c r="AF649" s="29"/>
      <c r="AG649" s="28"/>
      <c r="AH649" s="29"/>
      <c r="AI649" s="29"/>
      <c r="AJ649" s="29"/>
    </row>
    <row r="650">
      <c r="C650" s="23"/>
      <c r="L650" s="24"/>
      <c r="M650" s="25"/>
      <c r="N650" s="24"/>
      <c r="O650" s="26"/>
      <c r="P650" s="24"/>
      <c r="V650" s="23"/>
      <c r="W650" s="27"/>
      <c r="X650" s="27"/>
      <c r="Y650" s="28"/>
      <c r="Z650" s="27"/>
      <c r="AA650" s="27"/>
      <c r="AB650" s="27"/>
      <c r="AC650" s="28"/>
      <c r="AD650" s="29"/>
      <c r="AE650" s="29"/>
      <c r="AF650" s="29"/>
      <c r="AG650" s="28"/>
      <c r="AH650" s="29"/>
      <c r="AI650" s="29"/>
      <c r="AJ650" s="29"/>
    </row>
    <row r="651">
      <c r="C651" s="23"/>
      <c r="L651" s="24"/>
      <c r="M651" s="25"/>
      <c r="N651" s="24"/>
      <c r="O651" s="26"/>
      <c r="P651" s="24"/>
      <c r="V651" s="23"/>
      <c r="W651" s="27"/>
      <c r="X651" s="27"/>
      <c r="Y651" s="28"/>
      <c r="Z651" s="27"/>
      <c r="AA651" s="27"/>
      <c r="AB651" s="27"/>
      <c r="AC651" s="28"/>
      <c r="AD651" s="29"/>
      <c r="AE651" s="29"/>
      <c r="AF651" s="29"/>
      <c r="AG651" s="28"/>
      <c r="AH651" s="29"/>
      <c r="AI651" s="29"/>
      <c r="AJ651" s="29"/>
    </row>
    <row r="652">
      <c r="C652" s="23"/>
      <c r="L652" s="24"/>
      <c r="M652" s="25"/>
      <c r="N652" s="24"/>
      <c r="O652" s="26"/>
      <c r="P652" s="24"/>
      <c r="V652" s="23"/>
      <c r="W652" s="27"/>
      <c r="X652" s="27"/>
      <c r="Y652" s="28"/>
      <c r="Z652" s="27"/>
      <c r="AA652" s="27"/>
      <c r="AB652" s="27"/>
      <c r="AC652" s="28"/>
      <c r="AD652" s="29"/>
      <c r="AE652" s="29"/>
      <c r="AF652" s="29"/>
      <c r="AG652" s="28"/>
      <c r="AH652" s="29"/>
      <c r="AI652" s="29"/>
      <c r="AJ652" s="29"/>
    </row>
    <row r="653">
      <c r="C653" s="23"/>
      <c r="L653" s="24"/>
      <c r="M653" s="25"/>
      <c r="N653" s="24"/>
      <c r="O653" s="26"/>
      <c r="P653" s="24"/>
      <c r="V653" s="23"/>
      <c r="W653" s="27"/>
      <c r="X653" s="27"/>
      <c r="Y653" s="28"/>
      <c r="Z653" s="27"/>
      <c r="AA653" s="27"/>
      <c r="AB653" s="27"/>
      <c r="AC653" s="28"/>
      <c r="AD653" s="29"/>
      <c r="AE653" s="29"/>
      <c r="AF653" s="29"/>
      <c r="AG653" s="28"/>
      <c r="AH653" s="29"/>
      <c r="AI653" s="29"/>
      <c r="AJ653" s="29"/>
    </row>
    <row r="654">
      <c r="C654" s="23"/>
      <c r="L654" s="24"/>
      <c r="M654" s="25"/>
      <c r="N654" s="24"/>
      <c r="O654" s="26"/>
      <c r="P654" s="24"/>
      <c r="V654" s="23"/>
      <c r="W654" s="27"/>
      <c r="X654" s="27"/>
      <c r="Y654" s="28"/>
      <c r="Z654" s="27"/>
      <c r="AA654" s="27"/>
      <c r="AB654" s="27"/>
      <c r="AC654" s="28"/>
      <c r="AD654" s="29"/>
      <c r="AE654" s="29"/>
      <c r="AF654" s="29"/>
      <c r="AG654" s="28"/>
      <c r="AH654" s="29"/>
      <c r="AI654" s="29"/>
      <c r="AJ654" s="29"/>
    </row>
    <row r="655">
      <c r="C655" s="23"/>
      <c r="L655" s="24"/>
      <c r="M655" s="25"/>
      <c r="N655" s="24"/>
      <c r="O655" s="26"/>
      <c r="P655" s="24"/>
      <c r="V655" s="23"/>
      <c r="W655" s="27"/>
      <c r="X655" s="27"/>
      <c r="Y655" s="28"/>
      <c r="Z655" s="27"/>
      <c r="AA655" s="27"/>
      <c r="AB655" s="27"/>
      <c r="AC655" s="28"/>
      <c r="AD655" s="29"/>
      <c r="AE655" s="29"/>
      <c r="AF655" s="29"/>
      <c r="AG655" s="28"/>
      <c r="AH655" s="29"/>
      <c r="AI655" s="29"/>
      <c r="AJ655" s="29"/>
    </row>
    <row r="656">
      <c r="C656" s="23"/>
      <c r="L656" s="24"/>
      <c r="M656" s="25"/>
      <c r="N656" s="24"/>
      <c r="O656" s="26"/>
      <c r="P656" s="24"/>
      <c r="V656" s="23"/>
      <c r="W656" s="27"/>
      <c r="X656" s="27"/>
      <c r="Y656" s="28"/>
      <c r="Z656" s="27"/>
      <c r="AA656" s="27"/>
      <c r="AB656" s="27"/>
      <c r="AC656" s="28"/>
      <c r="AD656" s="29"/>
      <c r="AE656" s="29"/>
      <c r="AF656" s="29"/>
      <c r="AG656" s="28"/>
      <c r="AH656" s="29"/>
      <c r="AI656" s="29"/>
      <c r="AJ656" s="29"/>
    </row>
    <row r="657">
      <c r="C657" s="23"/>
      <c r="L657" s="24"/>
      <c r="M657" s="25"/>
      <c r="N657" s="24"/>
      <c r="O657" s="26"/>
      <c r="P657" s="24"/>
      <c r="V657" s="23"/>
      <c r="W657" s="27"/>
      <c r="X657" s="27"/>
      <c r="Y657" s="28"/>
      <c r="Z657" s="27"/>
      <c r="AA657" s="27"/>
      <c r="AB657" s="27"/>
      <c r="AC657" s="28"/>
      <c r="AD657" s="29"/>
      <c r="AE657" s="29"/>
      <c r="AF657" s="29"/>
      <c r="AG657" s="28"/>
      <c r="AH657" s="29"/>
      <c r="AI657" s="29"/>
      <c r="AJ657" s="29"/>
    </row>
    <row r="658">
      <c r="C658" s="23"/>
      <c r="L658" s="24"/>
      <c r="M658" s="25"/>
      <c r="N658" s="24"/>
      <c r="O658" s="26"/>
      <c r="P658" s="24"/>
      <c r="V658" s="23"/>
      <c r="W658" s="27"/>
      <c r="X658" s="27"/>
      <c r="Y658" s="28"/>
      <c r="Z658" s="27"/>
      <c r="AA658" s="27"/>
      <c r="AB658" s="27"/>
      <c r="AC658" s="28"/>
      <c r="AD658" s="29"/>
      <c r="AE658" s="29"/>
      <c r="AF658" s="29"/>
      <c r="AG658" s="28"/>
      <c r="AH658" s="29"/>
      <c r="AI658" s="29"/>
      <c r="AJ658" s="29"/>
    </row>
    <row r="659">
      <c r="C659" s="23"/>
      <c r="L659" s="24"/>
      <c r="M659" s="25"/>
      <c r="N659" s="24"/>
      <c r="O659" s="26"/>
      <c r="P659" s="24"/>
      <c r="V659" s="23"/>
      <c r="W659" s="27"/>
      <c r="X659" s="27"/>
      <c r="Y659" s="28"/>
      <c r="Z659" s="27"/>
      <c r="AA659" s="27"/>
      <c r="AB659" s="27"/>
      <c r="AC659" s="28"/>
      <c r="AD659" s="29"/>
      <c r="AE659" s="29"/>
      <c r="AF659" s="29"/>
      <c r="AG659" s="28"/>
      <c r="AH659" s="29"/>
      <c r="AI659" s="29"/>
      <c r="AJ659" s="29"/>
    </row>
    <row r="660">
      <c r="C660" s="23"/>
      <c r="L660" s="24"/>
      <c r="M660" s="25"/>
      <c r="N660" s="24"/>
      <c r="O660" s="26"/>
      <c r="P660" s="24"/>
      <c r="V660" s="23"/>
      <c r="W660" s="27"/>
      <c r="X660" s="27"/>
      <c r="Y660" s="28"/>
      <c r="Z660" s="27"/>
      <c r="AA660" s="27"/>
      <c r="AB660" s="27"/>
      <c r="AC660" s="28"/>
      <c r="AD660" s="29"/>
      <c r="AE660" s="29"/>
      <c r="AF660" s="29"/>
      <c r="AG660" s="28"/>
      <c r="AH660" s="29"/>
      <c r="AI660" s="29"/>
      <c r="AJ660" s="29"/>
    </row>
    <row r="661">
      <c r="C661" s="23"/>
      <c r="L661" s="24"/>
      <c r="M661" s="25"/>
      <c r="N661" s="24"/>
      <c r="O661" s="26"/>
      <c r="P661" s="24"/>
      <c r="V661" s="23"/>
      <c r="W661" s="27"/>
      <c r="X661" s="27"/>
      <c r="Y661" s="28"/>
      <c r="Z661" s="27"/>
      <c r="AA661" s="27"/>
      <c r="AB661" s="27"/>
      <c r="AC661" s="28"/>
      <c r="AD661" s="29"/>
      <c r="AE661" s="29"/>
      <c r="AF661" s="29"/>
      <c r="AG661" s="28"/>
      <c r="AH661" s="29"/>
      <c r="AI661" s="29"/>
      <c r="AJ661" s="29"/>
    </row>
    <row r="662">
      <c r="C662" s="23"/>
      <c r="L662" s="24"/>
      <c r="M662" s="25"/>
      <c r="N662" s="24"/>
      <c r="O662" s="26"/>
      <c r="P662" s="24"/>
      <c r="V662" s="23"/>
      <c r="W662" s="27"/>
      <c r="X662" s="27"/>
      <c r="Y662" s="28"/>
      <c r="Z662" s="27"/>
      <c r="AA662" s="27"/>
      <c r="AB662" s="27"/>
      <c r="AC662" s="28"/>
      <c r="AD662" s="29"/>
      <c r="AE662" s="29"/>
      <c r="AF662" s="29"/>
      <c r="AG662" s="28"/>
      <c r="AH662" s="29"/>
      <c r="AI662" s="29"/>
      <c r="AJ662" s="29"/>
    </row>
    <row r="663">
      <c r="C663" s="23"/>
      <c r="L663" s="24"/>
      <c r="M663" s="25"/>
      <c r="N663" s="24"/>
      <c r="O663" s="26"/>
      <c r="P663" s="24"/>
      <c r="V663" s="23"/>
      <c r="W663" s="27"/>
      <c r="X663" s="27"/>
      <c r="Y663" s="28"/>
      <c r="Z663" s="27"/>
      <c r="AA663" s="27"/>
      <c r="AB663" s="27"/>
      <c r="AC663" s="28"/>
      <c r="AD663" s="29"/>
      <c r="AE663" s="29"/>
      <c r="AF663" s="29"/>
      <c r="AG663" s="28"/>
      <c r="AH663" s="29"/>
      <c r="AI663" s="29"/>
      <c r="AJ663" s="29"/>
    </row>
    <row r="664">
      <c r="C664" s="23"/>
      <c r="L664" s="24"/>
      <c r="M664" s="25"/>
      <c r="N664" s="24"/>
      <c r="O664" s="26"/>
      <c r="P664" s="24"/>
      <c r="V664" s="23"/>
      <c r="W664" s="27"/>
      <c r="X664" s="27"/>
      <c r="Y664" s="28"/>
      <c r="Z664" s="27"/>
      <c r="AA664" s="27"/>
      <c r="AB664" s="27"/>
      <c r="AC664" s="28"/>
      <c r="AD664" s="29"/>
      <c r="AE664" s="29"/>
      <c r="AF664" s="29"/>
      <c r="AG664" s="28"/>
      <c r="AH664" s="29"/>
      <c r="AI664" s="29"/>
      <c r="AJ664" s="29"/>
    </row>
    <row r="665">
      <c r="C665" s="23"/>
      <c r="L665" s="24"/>
      <c r="M665" s="25"/>
      <c r="N665" s="24"/>
      <c r="O665" s="26"/>
      <c r="P665" s="24"/>
      <c r="V665" s="23"/>
      <c r="W665" s="27"/>
      <c r="X665" s="27"/>
      <c r="Y665" s="28"/>
      <c r="Z665" s="27"/>
      <c r="AA665" s="27"/>
      <c r="AB665" s="27"/>
      <c r="AC665" s="28"/>
      <c r="AD665" s="29"/>
      <c r="AE665" s="29"/>
      <c r="AF665" s="29"/>
      <c r="AG665" s="28"/>
      <c r="AH665" s="29"/>
      <c r="AI665" s="29"/>
      <c r="AJ665" s="29"/>
    </row>
    <row r="666">
      <c r="C666" s="23"/>
      <c r="L666" s="24"/>
      <c r="M666" s="25"/>
      <c r="N666" s="24"/>
      <c r="O666" s="26"/>
      <c r="P666" s="24"/>
      <c r="V666" s="23"/>
      <c r="W666" s="27"/>
      <c r="X666" s="27"/>
      <c r="Y666" s="28"/>
      <c r="Z666" s="27"/>
      <c r="AA666" s="27"/>
      <c r="AB666" s="27"/>
      <c r="AC666" s="28"/>
      <c r="AD666" s="29"/>
      <c r="AE666" s="29"/>
      <c r="AF666" s="29"/>
      <c r="AG666" s="28"/>
      <c r="AH666" s="29"/>
      <c r="AI666" s="29"/>
      <c r="AJ666" s="29"/>
    </row>
    <row r="667">
      <c r="C667" s="23"/>
      <c r="L667" s="24"/>
      <c r="M667" s="25"/>
      <c r="N667" s="24"/>
      <c r="O667" s="26"/>
      <c r="P667" s="24"/>
      <c r="V667" s="23"/>
      <c r="W667" s="27"/>
      <c r="X667" s="27"/>
      <c r="Y667" s="28"/>
      <c r="Z667" s="27"/>
      <c r="AA667" s="27"/>
      <c r="AB667" s="27"/>
      <c r="AC667" s="28"/>
      <c r="AD667" s="29"/>
      <c r="AE667" s="29"/>
      <c r="AF667" s="29"/>
      <c r="AG667" s="28"/>
      <c r="AH667" s="29"/>
      <c r="AI667" s="29"/>
      <c r="AJ667" s="29"/>
    </row>
    <row r="668">
      <c r="C668" s="23"/>
      <c r="L668" s="24"/>
      <c r="M668" s="25"/>
      <c r="N668" s="24"/>
      <c r="O668" s="26"/>
      <c r="P668" s="24"/>
      <c r="V668" s="23"/>
      <c r="W668" s="27"/>
      <c r="X668" s="27"/>
      <c r="Y668" s="28"/>
      <c r="Z668" s="27"/>
      <c r="AA668" s="27"/>
      <c r="AB668" s="27"/>
      <c r="AC668" s="28"/>
      <c r="AD668" s="29"/>
      <c r="AE668" s="29"/>
      <c r="AF668" s="29"/>
      <c r="AG668" s="28"/>
      <c r="AH668" s="29"/>
      <c r="AI668" s="29"/>
      <c r="AJ668" s="29"/>
    </row>
    <row r="669">
      <c r="C669" s="23"/>
      <c r="L669" s="24"/>
      <c r="M669" s="25"/>
      <c r="N669" s="24"/>
      <c r="O669" s="26"/>
      <c r="P669" s="24"/>
      <c r="V669" s="23"/>
      <c r="W669" s="27"/>
      <c r="X669" s="27"/>
      <c r="Y669" s="28"/>
      <c r="Z669" s="27"/>
      <c r="AA669" s="27"/>
      <c r="AB669" s="27"/>
      <c r="AC669" s="28"/>
      <c r="AD669" s="29"/>
      <c r="AE669" s="29"/>
      <c r="AF669" s="29"/>
      <c r="AG669" s="28"/>
      <c r="AH669" s="29"/>
      <c r="AI669" s="29"/>
      <c r="AJ669" s="29"/>
    </row>
    <row r="670">
      <c r="C670" s="23"/>
      <c r="L670" s="24"/>
      <c r="M670" s="25"/>
      <c r="N670" s="24"/>
      <c r="O670" s="26"/>
      <c r="P670" s="24"/>
      <c r="V670" s="23"/>
      <c r="W670" s="27"/>
      <c r="X670" s="27"/>
      <c r="Y670" s="28"/>
      <c r="Z670" s="27"/>
      <c r="AA670" s="27"/>
      <c r="AB670" s="27"/>
      <c r="AC670" s="28"/>
      <c r="AD670" s="29"/>
      <c r="AE670" s="29"/>
      <c r="AF670" s="29"/>
      <c r="AG670" s="28"/>
      <c r="AH670" s="29"/>
      <c r="AI670" s="29"/>
      <c r="AJ670" s="29"/>
    </row>
    <row r="671">
      <c r="C671" s="23"/>
      <c r="L671" s="24"/>
      <c r="M671" s="25"/>
      <c r="N671" s="24"/>
      <c r="O671" s="26"/>
      <c r="P671" s="24"/>
      <c r="V671" s="23"/>
      <c r="W671" s="27"/>
      <c r="X671" s="27"/>
      <c r="Y671" s="28"/>
      <c r="Z671" s="27"/>
      <c r="AA671" s="27"/>
      <c r="AB671" s="27"/>
      <c r="AC671" s="28"/>
      <c r="AD671" s="29"/>
      <c r="AE671" s="29"/>
      <c r="AF671" s="29"/>
      <c r="AG671" s="28"/>
      <c r="AH671" s="29"/>
      <c r="AI671" s="29"/>
      <c r="AJ671" s="29"/>
    </row>
    <row r="672">
      <c r="C672" s="23"/>
      <c r="L672" s="24"/>
      <c r="M672" s="25"/>
      <c r="N672" s="24"/>
      <c r="O672" s="26"/>
      <c r="P672" s="24"/>
      <c r="V672" s="23"/>
      <c r="W672" s="27"/>
      <c r="X672" s="27"/>
      <c r="Y672" s="28"/>
      <c r="Z672" s="27"/>
      <c r="AA672" s="27"/>
      <c r="AB672" s="27"/>
      <c r="AC672" s="28"/>
      <c r="AD672" s="29"/>
      <c r="AE672" s="29"/>
      <c r="AF672" s="29"/>
      <c r="AG672" s="28"/>
      <c r="AH672" s="29"/>
      <c r="AI672" s="29"/>
      <c r="AJ672" s="29"/>
    </row>
    <row r="673">
      <c r="C673" s="23"/>
      <c r="L673" s="24"/>
      <c r="M673" s="25"/>
      <c r="N673" s="24"/>
      <c r="O673" s="26"/>
      <c r="P673" s="24"/>
      <c r="V673" s="23"/>
      <c r="W673" s="27"/>
      <c r="X673" s="27"/>
      <c r="Y673" s="28"/>
      <c r="Z673" s="27"/>
      <c r="AA673" s="27"/>
      <c r="AB673" s="27"/>
      <c r="AC673" s="28"/>
      <c r="AD673" s="29"/>
      <c r="AE673" s="29"/>
      <c r="AF673" s="29"/>
      <c r="AG673" s="28"/>
      <c r="AH673" s="29"/>
      <c r="AI673" s="29"/>
      <c r="AJ673" s="29"/>
    </row>
    <row r="674">
      <c r="C674" s="23"/>
      <c r="L674" s="24"/>
      <c r="M674" s="25"/>
      <c r="N674" s="24"/>
      <c r="O674" s="26"/>
      <c r="P674" s="24"/>
      <c r="V674" s="23"/>
      <c r="W674" s="27"/>
      <c r="X674" s="27"/>
      <c r="Y674" s="28"/>
      <c r="Z674" s="27"/>
      <c r="AA674" s="27"/>
      <c r="AB674" s="27"/>
      <c r="AC674" s="28"/>
      <c r="AD674" s="29"/>
      <c r="AE674" s="29"/>
      <c r="AF674" s="29"/>
      <c r="AG674" s="28"/>
      <c r="AH674" s="29"/>
      <c r="AI674" s="29"/>
      <c r="AJ674" s="29"/>
    </row>
    <row r="675">
      <c r="C675" s="23"/>
      <c r="L675" s="24"/>
      <c r="M675" s="25"/>
      <c r="N675" s="24"/>
      <c r="O675" s="26"/>
      <c r="P675" s="24"/>
      <c r="V675" s="23"/>
      <c r="W675" s="27"/>
      <c r="X675" s="27"/>
      <c r="Y675" s="28"/>
      <c r="Z675" s="27"/>
      <c r="AA675" s="27"/>
      <c r="AB675" s="27"/>
      <c r="AC675" s="28"/>
      <c r="AD675" s="29"/>
      <c r="AE675" s="29"/>
      <c r="AF675" s="29"/>
      <c r="AG675" s="28"/>
      <c r="AH675" s="29"/>
      <c r="AI675" s="29"/>
      <c r="AJ675" s="29"/>
    </row>
    <row r="676">
      <c r="C676" s="23"/>
      <c r="L676" s="24"/>
      <c r="M676" s="25"/>
      <c r="N676" s="24"/>
      <c r="O676" s="26"/>
      <c r="P676" s="24"/>
      <c r="V676" s="23"/>
      <c r="W676" s="27"/>
      <c r="X676" s="27"/>
      <c r="Y676" s="28"/>
      <c r="Z676" s="27"/>
      <c r="AA676" s="27"/>
      <c r="AB676" s="27"/>
      <c r="AC676" s="28"/>
      <c r="AD676" s="29"/>
      <c r="AE676" s="29"/>
      <c r="AF676" s="29"/>
      <c r="AG676" s="28"/>
      <c r="AH676" s="29"/>
      <c r="AI676" s="29"/>
      <c r="AJ676" s="29"/>
    </row>
    <row r="677">
      <c r="C677" s="23"/>
      <c r="L677" s="24"/>
      <c r="M677" s="25"/>
      <c r="N677" s="24"/>
      <c r="O677" s="26"/>
      <c r="P677" s="24"/>
      <c r="V677" s="23"/>
      <c r="W677" s="27"/>
      <c r="X677" s="27"/>
      <c r="Y677" s="28"/>
      <c r="Z677" s="27"/>
      <c r="AA677" s="27"/>
      <c r="AB677" s="27"/>
      <c r="AC677" s="28"/>
      <c r="AD677" s="29"/>
      <c r="AE677" s="29"/>
      <c r="AF677" s="29"/>
      <c r="AG677" s="28"/>
      <c r="AH677" s="29"/>
      <c r="AI677" s="29"/>
      <c r="AJ677" s="29"/>
    </row>
    <row r="678">
      <c r="C678" s="23"/>
      <c r="L678" s="24"/>
      <c r="M678" s="25"/>
      <c r="N678" s="24"/>
      <c r="O678" s="26"/>
      <c r="P678" s="24"/>
      <c r="V678" s="23"/>
      <c r="W678" s="27"/>
      <c r="X678" s="27"/>
      <c r="Y678" s="28"/>
      <c r="Z678" s="27"/>
      <c r="AA678" s="27"/>
      <c r="AB678" s="27"/>
      <c r="AC678" s="28"/>
      <c r="AD678" s="29"/>
      <c r="AE678" s="29"/>
      <c r="AF678" s="29"/>
      <c r="AG678" s="28"/>
      <c r="AH678" s="29"/>
      <c r="AI678" s="29"/>
      <c r="AJ678" s="29"/>
    </row>
    <row r="679">
      <c r="C679" s="23"/>
      <c r="L679" s="24"/>
      <c r="M679" s="25"/>
      <c r="N679" s="24"/>
      <c r="O679" s="26"/>
      <c r="P679" s="24"/>
      <c r="V679" s="23"/>
      <c r="W679" s="27"/>
      <c r="X679" s="27"/>
      <c r="Y679" s="28"/>
      <c r="Z679" s="27"/>
      <c r="AA679" s="27"/>
      <c r="AB679" s="27"/>
      <c r="AC679" s="28"/>
      <c r="AD679" s="29"/>
      <c r="AE679" s="29"/>
      <c r="AF679" s="29"/>
      <c r="AG679" s="28"/>
      <c r="AH679" s="29"/>
      <c r="AI679" s="29"/>
      <c r="AJ679" s="29"/>
    </row>
    <row r="680">
      <c r="C680" s="23"/>
      <c r="L680" s="24"/>
      <c r="M680" s="25"/>
      <c r="N680" s="24"/>
      <c r="O680" s="26"/>
      <c r="P680" s="24"/>
      <c r="V680" s="23"/>
      <c r="W680" s="27"/>
      <c r="X680" s="27"/>
      <c r="Y680" s="28"/>
      <c r="Z680" s="27"/>
      <c r="AA680" s="27"/>
      <c r="AB680" s="27"/>
      <c r="AC680" s="28"/>
      <c r="AD680" s="29"/>
      <c r="AE680" s="29"/>
      <c r="AF680" s="29"/>
      <c r="AG680" s="28"/>
      <c r="AH680" s="29"/>
      <c r="AI680" s="29"/>
      <c r="AJ680" s="29"/>
    </row>
    <row r="681">
      <c r="C681" s="23"/>
      <c r="L681" s="24"/>
      <c r="M681" s="25"/>
      <c r="N681" s="24"/>
      <c r="O681" s="26"/>
      <c r="P681" s="24"/>
      <c r="V681" s="23"/>
      <c r="W681" s="27"/>
      <c r="X681" s="27"/>
      <c r="Y681" s="28"/>
      <c r="Z681" s="27"/>
      <c r="AA681" s="27"/>
      <c r="AB681" s="27"/>
      <c r="AC681" s="28"/>
      <c r="AD681" s="29"/>
      <c r="AE681" s="29"/>
      <c r="AF681" s="29"/>
      <c r="AG681" s="28"/>
      <c r="AH681" s="29"/>
      <c r="AI681" s="29"/>
      <c r="AJ681" s="29"/>
    </row>
    <row r="682">
      <c r="C682" s="23"/>
      <c r="L682" s="24"/>
      <c r="M682" s="25"/>
      <c r="N682" s="24"/>
      <c r="O682" s="26"/>
      <c r="P682" s="24"/>
      <c r="V682" s="23"/>
      <c r="W682" s="27"/>
      <c r="X682" s="27"/>
      <c r="Y682" s="28"/>
      <c r="Z682" s="27"/>
      <c r="AA682" s="27"/>
      <c r="AB682" s="27"/>
      <c r="AC682" s="28"/>
      <c r="AD682" s="29"/>
      <c r="AE682" s="29"/>
      <c r="AF682" s="29"/>
      <c r="AG682" s="28"/>
      <c r="AH682" s="29"/>
      <c r="AI682" s="29"/>
      <c r="AJ682" s="29"/>
    </row>
    <row r="683">
      <c r="C683" s="23"/>
      <c r="L683" s="24"/>
      <c r="M683" s="25"/>
      <c r="N683" s="24"/>
      <c r="O683" s="26"/>
      <c r="P683" s="24"/>
      <c r="V683" s="23"/>
      <c r="W683" s="27"/>
      <c r="X683" s="27"/>
      <c r="Y683" s="28"/>
      <c r="Z683" s="27"/>
      <c r="AA683" s="27"/>
      <c r="AB683" s="27"/>
      <c r="AC683" s="28"/>
      <c r="AD683" s="29"/>
      <c r="AE683" s="29"/>
      <c r="AF683" s="29"/>
      <c r="AG683" s="28"/>
      <c r="AH683" s="29"/>
      <c r="AI683" s="29"/>
      <c r="AJ683" s="29"/>
    </row>
    <row r="684">
      <c r="C684" s="23"/>
      <c r="L684" s="24"/>
      <c r="M684" s="25"/>
      <c r="N684" s="24"/>
      <c r="O684" s="26"/>
      <c r="P684" s="24"/>
      <c r="V684" s="23"/>
      <c r="W684" s="27"/>
      <c r="X684" s="27"/>
      <c r="Y684" s="28"/>
      <c r="Z684" s="27"/>
      <c r="AA684" s="27"/>
      <c r="AB684" s="27"/>
      <c r="AC684" s="28"/>
      <c r="AD684" s="29"/>
      <c r="AE684" s="29"/>
      <c r="AF684" s="29"/>
      <c r="AG684" s="28"/>
      <c r="AH684" s="29"/>
      <c r="AI684" s="29"/>
      <c r="AJ684" s="29"/>
    </row>
    <row r="685">
      <c r="C685" s="23"/>
      <c r="L685" s="24"/>
      <c r="M685" s="25"/>
      <c r="N685" s="24"/>
      <c r="O685" s="26"/>
      <c r="P685" s="24"/>
      <c r="V685" s="23"/>
      <c r="W685" s="27"/>
      <c r="X685" s="27"/>
      <c r="Y685" s="28"/>
      <c r="Z685" s="27"/>
      <c r="AA685" s="27"/>
      <c r="AB685" s="27"/>
      <c r="AC685" s="28"/>
      <c r="AD685" s="29"/>
      <c r="AE685" s="29"/>
      <c r="AF685" s="29"/>
      <c r="AG685" s="28"/>
      <c r="AH685" s="29"/>
      <c r="AI685" s="29"/>
      <c r="AJ685" s="29"/>
    </row>
    <row r="686">
      <c r="C686" s="23"/>
      <c r="L686" s="24"/>
      <c r="M686" s="25"/>
      <c r="N686" s="24"/>
      <c r="O686" s="26"/>
      <c r="P686" s="24"/>
      <c r="V686" s="23"/>
      <c r="W686" s="27"/>
      <c r="X686" s="27"/>
      <c r="Y686" s="28"/>
      <c r="Z686" s="27"/>
      <c r="AA686" s="27"/>
      <c r="AB686" s="27"/>
      <c r="AC686" s="28"/>
      <c r="AD686" s="29"/>
      <c r="AE686" s="29"/>
      <c r="AF686" s="29"/>
      <c r="AG686" s="28"/>
      <c r="AH686" s="29"/>
      <c r="AI686" s="29"/>
      <c r="AJ686" s="29"/>
    </row>
    <row r="687">
      <c r="C687" s="23"/>
      <c r="L687" s="24"/>
      <c r="M687" s="25"/>
      <c r="N687" s="24"/>
      <c r="O687" s="26"/>
      <c r="P687" s="24"/>
      <c r="V687" s="23"/>
      <c r="W687" s="27"/>
      <c r="X687" s="27"/>
      <c r="Y687" s="28"/>
      <c r="Z687" s="27"/>
      <c r="AA687" s="27"/>
      <c r="AB687" s="27"/>
      <c r="AC687" s="28"/>
      <c r="AD687" s="29"/>
      <c r="AE687" s="29"/>
      <c r="AF687" s="29"/>
      <c r="AG687" s="28"/>
      <c r="AH687" s="29"/>
      <c r="AI687" s="29"/>
      <c r="AJ687" s="29"/>
    </row>
    <row r="688">
      <c r="C688" s="23"/>
      <c r="L688" s="24"/>
      <c r="M688" s="25"/>
      <c r="N688" s="24"/>
      <c r="O688" s="26"/>
      <c r="P688" s="24"/>
      <c r="V688" s="23"/>
      <c r="W688" s="27"/>
      <c r="X688" s="27"/>
      <c r="Y688" s="28"/>
      <c r="Z688" s="27"/>
      <c r="AA688" s="27"/>
      <c r="AB688" s="27"/>
      <c r="AC688" s="28"/>
      <c r="AD688" s="29"/>
      <c r="AE688" s="29"/>
      <c r="AF688" s="29"/>
      <c r="AG688" s="28"/>
      <c r="AH688" s="29"/>
      <c r="AI688" s="29"/>
      <c r="AJ688" s="29"/>
    </row>
    <row r="689">
      <c r="C689" s="23"/>
      <c r="L689" s="24"/>
      <c r="M689" s="25"/>
      <c r="N689" s="24"/>
      <c r="O689" s="26"/>
      <c r="P689" s="24"/>
      <c r="V689" s="23"/>
      <c r="W689" s="27"/>
      <c r="X689" s="27"/>
      <c r="Y689" s="28"/>
      <c r="Z689" s="27"/>
      <c r="AA689" s="27"/>
      <c r="AB689" s="27"/>
      <c r="AC689" s="28"/>
      <c r="AD689" s="29"/>
      <c r="AE689" s="29"/>
      <c r="AF689" s="29"/>
      <c r="AG689" s="28"/>
      <c r="AH689" s="29"/>
      <c r="AI689" s="29"/>
      <c r="AJ689" s="29"/>
    </row>
    <row r="690">
      <c r="C690" s="23"/>
      <c r="L690" s="24"/>
      <c r="M690" s="25"/>
      <c r="N690" s="24"/>
      <c r="O690" s="26"/>
      <c r="P690" s="24"/>
      <c r="V690" s="23"/>
      <c r="W690" s="27"/>
      <c r="X690" s="27"/>
      <c r="Y690" s="28"/>
      <c r="Z690" s="27"/>
      <c r="AA690" s="27"/>
      <c r="AB690" s="27"/>
      <c r="AC690" s="28"/>
      <c r="AD690" s="29"/>
      <c r="AE690" s="29"/>
      <c r="AF690" s="29"/>
      <c r="AG690" s="28"/>
      <c r="AH690" s="29"/>
      <c r="AI690" s="29"/>
      <c r="AJ690" s="29"/>
    </row>
    <row r="691">
      <c r="C691" s="23"/>
      <c r="L691" s="24"/>
      <c r="M691" s="25"/>
      <c r="N691" s="24"/>
      <c r="O691" s="26"/>
      <c r="P691" s="24"/>
      <c r="V691" s="23"/>
      <c r="W691" s="27"/>
      <c r="X691" s="27"/>
      <c r="Y691" s="28"/>
      <c r="Z691" s="27"/>
      <c r="AA691" s="27"/>
      <c r="AB691" s="27"/>
      <c r="AC691" s="28"/>
      <c r="AD691" s="29"/>
      <c r="AE691" s="29"/>
      <c r="AF691" s="29"/>
      <c r="AG691" s="28"/>
      <c r="AH691" s="29"/>
      <c r="AI691" s="29"/>
      <c r="AJ691" s="29"/>
    </row>
    <row r="692">
      <c r="C692" s="23"/>
      <c r="L692" s="24"/>
      <c r="M692" s="25"/>
      <c r="N692" s="24"/>
      <c r="O692" s="26"/>
      <c r="P692" s="24"/>
      <c r="V692" s="23"/>
      <c r="W692" s="27"/>
      <c r="X692" s="27"/>
      <c r="Y692" s="28"/>
      <c r="Z692" s="27"/>
      <c r="AA692" s="27"/>
      <c r="AB692" s="27"/>
      <c r="AC692" s="28"/>
      <c r="AD692" s="29"/>
      <c r="AE692" s="29"/>
      <c r="AF692" s="29"/>
      <c r="AG692" s="28"/>
      <c r="AH692" s="29"/>
      <c r="AI692" s="29"/>
      <c r="AJ692" s="29"/>
    </row>
    <row r="693">
      <c r="C693" s="23"/>
      <c r="L693" s="24"/>
      <c r="M693" s="25"/>
      <c r="N693" s="24"/>
      <c r="O693" s="26"/>
      <c r="P693" s="24"/>
      <c r="V693" s="23"/>
      <c r="W693" s="27"/>
      <c r="X693" s="27"/>
      <c r="Y693" s="28"/>
      <c r="Z693" s="27"/>
      <c r="AA693" s="27"/>
      <c r="AB693" s="27"/>
      <c r="AC693" s="28"/>
      <c r="AD693" s="29"/>
      <c r="AE693" s="29"/>
      <c r="AF693" s="29"/>
      <c r="AG693" s="28"/>
      <c r="AH693" s="29"/>
      <c r="AI693" s="29"/>
      <c r="AJ693" s="29"/>
    </row>
    <row r="694">
      <c r="C694" s="23"/>
      <c r="L694" s="24"/>
      <c r="M694" s="25"/>
      <c r="N694" s="24"/>
      <c r="O694" s="26"/>
      <c r="P694" s="24"/>
      <c r="V694" s="23"/>
      <c r="W694" s="27"/>
      <c r="X694" s="27"/>
      <c r="Y694" s="28"/>
      <c r="Z694" s="27"/>
      <c r="AA694" s="27"/>
      <c r="AB694" s="27"/>
      <c r="AC694" s="28"/>
      <c r="AD694" s="29"/>
      <c r="AE694" s="29"/>
      <c r="AF694" s="29"/>
      <c r="AG694" s="28"/>
      <c r="AH694" s="29"/>
      <c r="AI694" s="29"/>
      <c r="AJ694" s="29"/>
    </row>
    <row r="695">
      <c r="C695" s="23"/>
      <c r="L695" s="24"/>
      <c r="M695" s="25"/>
      <c r="N695" s="24"/>
      <c r="O695" s="26"/>
      <c r="P695" s="24"/>
      <c r="V695" s="23"/>
      <c r="W695" s="27"/>
      <c r="X695" s="27"/>
      <c r="Y695" s="28"/>
      <c r="Z695" s="27"/>
      <c r="AA695" s="27"/>
      <c r="AB695" s="27"/>
      <c r="AC695" s="28"/>
      <c r="AD695" s="29"/>
      <c r="AE695" s="29"/>
      <c r="AF695" s="29"/>
      <c r="AG695" s="28"/>
      <c r="AH695" s="29"/>
      <c r="AI695" s="29"/>
      <c r="AJ695" s="29"/>
    </row>
    <row r="696">
      <c r="C696" s="23"/>
      <c r="L696" s="24"/>
      <c r="M696" s="25"/>
      <c r="N696" s="24"/>
      <c r="O696" s="26"/>
      <c r="P696" s="24"/>
      <c r="V696" s="23"/>
      <c r="W696" s="27"/>
      <c r="X696" s="27"/>
      <c r="Y696" s="28"/>
      <c r="Z696" s="27"/>
      <c r="AA696" s="27"/>
      <c r="AB696" s="27"/>
      <c r="AC696" s="28"/>
      <c r="AD696" s="29"/>
      <c r="AE696" s="29"/>
      <c r="AF696" s="29"/>
      <c r="AG696" s="28"/>
      <c r="AH696" s="29"/>
      <c r="AI696" s="29"/>
      <c r="AJ696" s="29"/>
    </row>
    <row r="697">
      <c r="C697" s="23"/>
      <c r="L697" s="24"/>
      <c r="M697" s="25"/>
      <c r="N697" s="24"/>
      <c r="O697" s="26"/>
      <c r="P697" s="24"/>
      <c r="V697" s="23"/>
      <c r="W697" s="27"/>
      <c r="X697" s="27"/>
      <c r="Y697" s="28"/>
      <c r="Z697" s="27"/>
      <c r="AA697" s="27"/>
      <c r="AB697" s="27"/>
      <c r="AC697" s="28"/>
      <c r="AD697" s="29"/>
      <c r="AE697" s="29"/>
      <c r="AF697" s="29"/>
      <c r="AG697" s="28"/>
      <c r="AH697" s="29"/>
      <c r="AI697" s="29"/>
      <c r="AJ697" s="29"/>
    </row>
    <row r="698">
      <c r="C698" s="23"/>
      <c r="L698" s="24"/>
      <c r="M698" s="25"/>
      <c r="N698" s="24"/>
      <c r="O698" s="26"/>
      <c r="P698" s="24"/>
      <c r="V698" s="23"/>
      <c r="W698" s="27"/>
      <c r="X698" s="27"/>
      <c r="Y698" s="28"/>
      <c r="Z698" s="27"/>
      <c r="AA698" s="27"/>
      <c r="AB698" s="27"/>
      <c r="AC698" s="28"/>
      <c r="AD698" s="29"/>
      <c r="AE698" s="29"/>
      <c r="AF698" s="29"/>
      <c r="AG698" s="28"/>
      <c r="AH698" s="29"/>
      <c r="AI698" s="29"/>
      <c r="AJ698" s="29"/>
    </row>
    <row r="699">
      <c r="C699" s="23"/>
      <c r="L699" s="24"/>
      <c r="M699" s="25"/>
      <c r="N699" s="24"/>
      <c r="O699" s="26"/>
      <c r="P699" s="24"/>
      <c r="V699" s="23"/>
      <c r="W699" s="27"/>
      <c r="X699" s="27"/>
      <c r="Y699" s="28"/>
      <c r="Z699" s="27"/>
      <c r="AA699" s="27"/>
      <c r="AB699" s="27"/>
      <c r="AC699" s="28"/>
      <c r="AD699" s="29"/>
      <c r="AE699" s="29"/>
      <c r="AF699" s="29"/>
      <c r="AG699" s="28"/>
      <c r="AH699" s="29"/>
      <c r="AI699" s="29"/>
      <c r="AJ699" s="29"/>
    </row>
    <row r="700">
      <c r="C700" s="23"/>
      <c r="L700" s="24"/>
      <c r="M700" s="25"/>
      <c r="N700" s="24"/>
      <c r="O700" s="26"/>
      <c r="P700" s="24"/>
      <c r="V700" s="23"/>
      <c r="W700" s="27"/>
      <c r="X700" s="27"/>
      <c r="Y700" s="28"/>
      <c r="Z700" s="27"/>
      <c r="AA700" s="27"/>
      <c r="AB700" s="27"/>
      <c r="AC700" s="28"/>
      <c r="AD700" s="29"/>
      <c r="AE700" s="29"/>
      <c r="AF700" s="29"/>
      <c r="AG700" s="28"/>
      <c r="AH700" s="29"/>
      <c r="AI700" s="29"/>
      <c r="AJ700" s="29"/>
    </row>
    <row r="701">
      <c r="C701" s="23"/>
      <c r="L701" s="24"/>
      <c r="M701" s="25"/>
      <c r="N701" s="24"/>
      <c r="O701" s="26"/>
      <c r="P701" s="24"/>
      <c r="V701" s="23"/>
      <c r="W701" s="27"/>
      <c r="X701" s="27"/>
      <c r="Y701" s="28"/>
      <c r="Z701" s="27"/>
      <c r="AA701" s="27"/>
      <c r="AB701" s="27"/>
      <c r="AC701" s="28"/>
      <c r="AD701" s="29"/>
      <c r="AE701" s="29"/>
      <c r="AF701" s="29"/>
      <c r="AG701" s="28"/>
      <c r="AH701" s="29"/>
      <c r="AI701" s="29"/>
      <c r="AJ701" s="29"/>
    </row>
    <row r="702">
      <c r="C702" s="23"/>
      <c r="L702" s="24"/>
      <c r="M702" s="25"/>
      <c r="N702" s="24"/>
      <c r="O702" s="26"/>
      <c r="P702" s="24"/>
      <c r="V702" s="23"/>
      <c r="W702" s="27"/>
      <c r="X702" s="27"/>
      <c r="Y702" s="28"/>
      <c r="Z702" s="27"/>
      <c r="AA702" s="27"/>
      <c r="AB702" s="27"/>
      <c r="AC702" s="28"/>
      <c r="AD702" s="29"/>
      <c r="AE702" s="29"/>
      <c r="AF702" s="29"/>
      <c r="AG702" s="28"/>
      <c r="AH702" s="29"/>
      <c r="AI702" s="29"/>
      <c r="AJ702" s="29"/>
    </row>
    <row r="703">
      <c r="C703" s="23"/>
      <c r="L703" s="24"/>
      <c r="M703" s="25"/>
      <c r="N703" s="24"/>
      <c r="O703" s="26"/>
      <c r="P703" s="24"/>
      <c r="V703" s="23"/>
      <c r="W703" s="27"/>
      <c r="X703" s="27"/>
      <c r="Y703" s="28"/>
      <c r="Z703" s="27"/>
      <c r="AA703" s="27"/>
      <c r="AB703" s="27"/>
      <c r="AC703" s="28"/>
      <c r="AD703" s="29"/>
      <c r="AE703" s="29"/>
      <c r="AF703" s="29"/>
      <c r="AG703" s="28"/>
      <c r="AH703" s="29"/>
      <c r="AI703" s="29"/>
      <c r="AJ703" s="29"/>
    </row>
    <row r="704">
      <c r="C704" s="23"/>
      <c r="L704" s="24"/>
      <c r="M704" s="25"/>
      <c r="N704" s="24"/>
      <c r="O704" s="26"/>
      <c r="P704" s="24"/>
      <c r="V704" s="23"/>
      <c r="W704" s="27"/>
      <c r="X704" s="27"/>
      <c r="Y704" s="28"/>
      <c r="Z704" s="27"/>
      <c r="AA704" s="27"/>
      <c r="AB704" s="27"/>
      <c r="AC704" s="28"/>
      <c r="AD704" s="29"/>
      <c r="AE704" s="29"/>
      <c r="AF704" s="29"/>
      <c r="AG704" s="28"/>
      <c r="AH704" s="29"/>
      <c r="AI704" s="29"/>
      <c r="AJ704" s="29"/>
    </row>
    <row r="705">
      <c r="C705" s="23"/>
      <c r="L705" s="24"/>
      <c r="M705" s="25"/>
      <c r="N705" s="24"/>
      <c r="O705" s="26"/>
      <c r="P705" s="24"/>
      <c r="V705" s="23"/>
      <c r="W705" s="27"/>
      <c r="X705" s="27"/>
      <c r="Y705" s="28"/>
      <c r="Z705" s="27"/>
      <c r="AA705" s="27"/>
      <c r="AB705" s="27"/>
      <c r="AC705" s="28"/>
      <c r="AD705" s="29"/>
      <c r="AE705" s="29"/>
      <c r="AF705" s="29"/>
      <c r="AG705" s="28"/>
      <c r="AH705" s="29"/>
      <c r="AI705" s="29"/>
      <c r="AJ705" s="29"/>
    </row>
    <row r="706">
      <c r="C706" s="23"/>
      <c r="L706" s="24"/>
      <c r="M706" s="25"/>
      <c r="N706" s="24"/>
      <c r="O706" s="26"/>
      <c r="P706" s="24"/>
      <c r="V706" s="23"/>
      <c r="W706" s="27"/>
      <c r="X706" s="27"/>
      <c r="Y706" s="28"/>
      <c r="Z706" s="27"/>
      <c r="AA706" s="27"/>
      <c r="AB706" s="27"/>
      <c r="AC706" s="28"/>
      <c r="AD706" s="29"/>
      <c r="AE706" s="29"/>
      <c r="AF706" s="29"/>
      <c r="AG706" s="28"/>
      <c r="AH706" s="29"/>
      <c r="AI706" s="29"/>
      <c r="AJ706" s="29"/>
    </row>
    <row r="707">
      <c r="C707" s="23"/>
      <c r="L707" s="24"/>
      <c r="M707" s="25"/>
      <c r="N707" s="24"/>
      <c r="O707" s="26"/>
      <c r="P707" s="24"/>
      <c r="V707" s="23"/>
      <c r="W707" s="27"/>
      <c r="X707" s="27"/>
      <c r="Y707" s="28"/>
      <c r="Z707" s="27"/>
      <c r="AA707" s="27"/>
      <c r="AB707" s="27"/>
      <c r="AC707" s="28"/>
      <c r="AD707" s="29"/>
      <c r="AE707" s="29"/>
      <c r="AF707" s="29"/>
      <c r="AG707" s="28"/>
      <c r="AH707" s="29"/>
      <c r="AI707" s="29"/>
      <c r="AJ707" s="29"/>
    </row>
    <row r="708">
      <c r="C708" s="23"/>
      <c r="L708" s="24"/>
      <c r="M708" s="25"/>
      <c r="N708" s="24"/>
      <c r="O708" s="26"/>
      <c r="P708" s="24"/>
      <c r="V708" s="23"/>
      <c r="W708" s="27"/>
      <c r="X708" s="27"/>
      <c r="Y708" s="28"/>
      <c r="Z708" s="27"/>
      <c r="AA708" s="27"/>
      <c r="AB708" s="27"/>
      <c r="AC708" s="28"/>
      <c r="AD708" s="29"/>
      <c r="AE708" s="29"/>
      <c r="AF708" s="29"/>
      <c r="AG708" s="28"/>
      <c r="AH708" s="29"/>
      <c r="AI708" s="29"/>
      <c r="AJ708" s="29"/>
    </row>
    <row r="709">
      <c r="C709" s="23"/>
      <c r="L709" s="24"/>
      <c r="M709" s="25"/>
      <c r="N709" s="24"/>
      <c r="O709" s="26"/>
      <c r="P709" s="24"/>
      <c r="V709" s="23"/>
      <c r="W709" s="27"/>
      <c r="X709" s="27"/>
      <c r="Y709" s="28"/>
      <c r="Z709" s="27"/>
      <c r="AA709" s="27"/>
      <c r="AB709" s="27"/>
      <c r="AC709" s="28"/>
      <c r="AD709" s="29"/>
      <c r="AE709" s="29"/>
      <c r="AF709" s="29"/>
      <c r="AG709" s="28"/>
      <c r="AH709" s="29"/>
      <c r="AI709" s="29"/>
      <c r="AJ709" s="29"/>
    </row>
    <row r="710">
      <c r="C710" s="23"/>
      <c r="L710" s="24"/>
      <c r="M710" s="25"/>
      <c r="N710" s="24"/>
      <c r="O710" s="26"/>
      <c r="P710" s="24"/>
      <c r="V710" s="23"/>
      <c r="W710" s="27"/>
      <c r="X710" s="27"/>
      <c r="Y710" s="28"/>
      <c r="Z710" s="27"/>
      <c r="AA710" s="27"/>
      <c r="AB710" s="27"/>
      <c r="AC710" s="28"/>
      <c r="AD710" s="29"/>
      <c r="AE710" s="29"/>
      <c r="AF710" s="29"/>
      <c r="AG710" s="28"/>
      <c r="AH710" s="29"/>
      <c r="AI710" s="29"/>
      <c r="AJ710" s="29"/>
    </row>
    <row r="711">
      <c r="C711" s="23"/>
      <c r="L711" s="24"/>
      <c r="M711" s="25"/>
      <c r="N711" s="24"/>
      <c r="O711" s="26"/>
      <c r="P711" s="24"/>
      <c r="V711" s="23"/>
      <c r="W711" s="27"/>
      <c r="X711" s="27"/>
      <c r="Y711" s="28"/>
      <c r="Z711" s="27"/>
      <c r="AA711" s="27"/>
      <c r="AB711" s="27"/>
      <c r="AC711" s="28"/>
      <c r="AD711" s="29"/>
      <c r="AE711" s="29"/>
      <c r="AF711" s="29"/>
      <c r="AG711" s="28"/>
      <c r="AH711" s="29"/>
      <c r="AI711" s="29"/>
      <c r="AJ711" s="29"/>
    </row>
    <row r="712">
      <c r="C712" s="23"/>
      <c r="L712" s="24"/>
      <c r="M712" s="25"/>
      <c r="N712" s="24"/>
      <c r="O712" s="26"/>
      <c r="P712" s="24"/>
      <c r="V712" s="23"/>
      <c r="W712" s="27"/>
      <c r="X712" s="27"/>
      <c r="Y712" s="28"/>
      <c r="Z712" s="27"/>
      <c r="AA712" s="27"/>
      <c r="AB712" s="27"/>
      <c r="AC712" s="28"/>
      <c r="AD712" s="29"/>
      <c r="AE712" s="29"/>
      <c r="AF712" s="29"/>
      <c r="AG712" s="28"/>
      <c r="AH712" s="29"/>
      <c r="AI712" s="29"/>
      <c r="AJ712" s="29"/>
    </row>
    <row r="713">
      <c r="C713" s="23"/>
      <c r="L713" s="24"/>
      <c r="M713" s="25"/>
      <c r="N713" s="24"/>
      <c r="O713" s="26"/>
      <c r="P713" s="24"/>
      <c r="V713" s="23"/>
      <c r="W713" s="27"/>
      <c r="X713" s="27"/>
      <c r="Y713" s="28"/>
      <c r="Z713" s="27"/>
      <c r="AA713" s="27"/>
      <c r="AB713" s="27"/>
      <c r="AC713" s="28"/>
      <c r="AD713" s="29"/>
      <c r="AE713" s="29"/>
      <c r="AF713" s="29"/>
      <c r="AG713" s="28"/>
      <c r="AH713" s="29"/>
      <c r="AI713" s="29"/>
      <c r="AJ713" s="29"/>
    </row>
    <row r="714">
      <c r="C714" s="23"/>
      <c r="L714" s="24"/>
      <c r="M714" s="25"/>
      <c r="N714" s="24"/>
      <c r="O714" s="26"/>
      <c r="P714" s="24"/>
      <c r="V714" s="23"/>
      <c r="W714" s="27"/>
      <c r="X714" s="27"/>
      <c r="Y714" s="28"/>
      <c r="Z714" s="27"/>
      <c r="AA714" s="27"/>
      <c r="AB714" s="27"/>
      <c r="AC714" s="28"/>
      <c r="AD714" s="29"/>
      <c r="AE714" s="29"/>
      <c r="AF714" s="29"/>
      <c r="AG714" s="28"/>
      <c r="AH714" s="29"/>
      <c r="AI714" s="29"/>
      <c r="AJ714" s="29"/>
    </row>
    <row r="715">
      <c r="C715" s="23"/>
      <c r="L715" s="24"/>
      <c r="M715" s="25"/>
      <c r="N715" s="24"/>
      <c r="O715" s="26"/>
      <c r="P715" s="24"/>
      <c r="V715" s="23"/>
      <c r="W715" s="27"/>
      <c r="X715" s="27"/>
      <c r="Y715" s="28"/>
      <c r="Z715" s="27"/>
      <c r="AA715" s="27"/>
      <c r="AB715" s="27"/>
      <c r="AC715" s="28"/>
      <c r="AD715" s="29"/>
      <c r="AE715" s="29"/>
      <c r="AF715" s="29"/>
      <c r="AG715" s="28"/>
      <c r="AH715" s="29"/>
      <c r="AI715" s="29"/>
      <c r="AJ715" s="29"/>
    </row>
    <row r="716">
      <c r="C716" s="23"/>
      <c r="L716" s="24"/>
      <c r="M716" s="25"/>
      <c r="N716" s="24"/>
      <c r="O716" s="26"/>
      <c r="P716" s="24"/>
      <c r="V716" s="23"/>
      <c r="W716" s="27"/>
      <c r="X716" s="27"/>
      <c r="Y716" s="28"/>
      <c r="Z716" s="27"/>
      <c r="AA716" s="27"/>
      <c r="AB716" s="27"/>
      <c r="AC716" s="28"/>
      <c r="AD716" s="29"/>
      <c r="AE716" s="29"/>
      <c r="AF716" s="29"/>
      <c r="AG716" s="28"/>
      <c r="AH716" s="29"/>
      <c r="AI716" s="29"/>
      <c r="AJ716" s="29"/>
    </row>
    <row r="717">
      <c r="C717" s="23"/>
      <c r="L717" s="24"/>
      <c r="M717" s="25"/>
      <c r="N717" s="24"/>
      <c r="O717" s="26"/>
      <c r="P717" s="24"/>
      <c r="V717" s="23"/>
      <c r="W717" s="27"/>
      <c r="X717" s="27"/>
      <c r="Y717" s="28"/>
      <c r="Z717" s="27"/>
      <c r="AA717" s="27"/>
      <c r="AB717" s="27"/>
      <c r="AC717" s="28"/>
      <c r="AD717" s="29"/>
      <c r="AE717" s="29"/>
      <c r="AF717" s="29"/>
      <c r="AG717" s="28"/>
      <c r="AH717" s="29"/>
      <c r="AI717" s="29"/>
      <c r="AJ717" s="29"/>
    </row>
    <row r="718">
      <c r="C718" s="23"/>
      <c r="L718" s="24"/>
      <c r="M718" s="25"/>
      <c r="N718" s="24"/>
      <c r="O718" s="26"/>
      <c r="P718" s="24"/>
      <c r="V718" s="23"/>
      <c r="W718" s="27"/>
      <c r="X718" s="27"/>
      <c r="Y718" s="28"/>
      <c r="Z718" s="27"/>
      <c r="AA718" s="27"/>
      <c r="AB718" s="27"/>
      <c r="AC718" s="28"/>
      <c r="AD718" s="29"/>
      <c r="AE718" s="29"/>
      <c r="AF718" s="29"/>
      <c r="AG718" s="28"/>
      <c r="AH718" s="29"/>
      <c r="AI718" s="29"/>
      <c r="AJ718" s="29"/>
    </row>
    <row r="719">
      <c r="C719" s="23"/>
      <c r="L719" s="24"/>
      <c r="M719" s="25"/>
      <c r="N719" s="24"/>
      <c r="O719" s="26"/>
      <c r="P719" s="24"/>
      <c r="V719" s="23"/>
      <c r="W719" s="27"/>
      <c r="X719" s="27"/>
      <c r="Y719" s="28"/>
      <c r="Z719" s="27"/>
      <c r="AA719" s="27"/>
      <c r="AB719" s="27"/>
      <c r="AC719" s="28"/>
      <c r="AD719" s="29"/>
      <c r="AE719" s="29"/>
      <c r="AF719" s="29"/>
      <c r="AG719" s="28"/>
      <c r="AH719" s="29"/>
      <c r="AI719" s="29"/>
      <c r="AJ719" s="29"/>
    </row>
    <row r="720">
      <c r="C720" s="23"/>
      <c r="L720" s="24"/>
      <c r="M720" s="25"/>
      <c r="N720" s="24"/>
      <c r="O720" s="26"/>
      <c r="P720" s="24"/>
      <c r="V720" s="23"/>
      <c r="W720" s="27"/>
      <c r="X720" s="27"/>
      <c r="Y720" s="28"/>
      <c r="Z720" s="27"/>
      <c r="AA720" s="27"/>
      <c r="AB720" s="27"/>
      <c r="AC720" s="28"/>
      <c r="AD720" s="29"/>
      <c r="AE720" s="29"/>
      <c r="AF720" s="29"/>
      <c r="AG720" s="28"/>
      <c r="AH720" s="29"/>
      <c r="AI720" s="29"/>
      <c r="AJ720" s="29"/>
    </row>
    <row r="721">
      <c r="C721" s="23"/>
      <c r="L721" s="24"/>
      <c r="M721" s="25"/>
      <c r="N721" s="24"/>
      <c r="O721" s="26"/>
      <c r="P721" s="24"/>
      <c r="V721" s="23"/>
      <c r="W721" s="27"/>
      <c r="X721" s="27"/>
      <c r="Y721" s="28"/>
      <c r="Z721" s="27"/>
      <c r="AA721" s="27"/>
      <c r="AB721" s="27"/>
      <c r="AC721" s="28"/>
      <c r="AD721" s="29"/>
      <c r="AE721" s="29"/>
      <c r="AF721" s="29"/>
      <c r="AG721" s="28"/>
      <c r="AH721" s="29"/>
      <c r="AI721" s="29"/>
      <c r="AJ721" s="29"/>
    </row>
    <row r="722">
      <c r="C722" s="23"/>
      <c r="L722" s="24"/>
      <c r="M722" s="25"/>
      <c r="N722" s="24"/>
      <c r="O722" s="26"/>
      <c r="P722" s="24"/>
      <c r="V722" s="23"/>
      <c r="W722" s="27"/>
      <c r="X722" s="27"/>
      <c r="Y722" s="28"/>
      <c r="Z722" s="27"/>
      <c r="AA722" s="27"/>
      <c r="AB722" s="27"/>
      <c r="AC722" s="28"/>
      <c r="AD722" s="29"/>
      <c r="AE722" s="29"/>
      <c r="AF722" s="29"/>
      <c r="AG722" s="28"/>
      <c r="AH722" s="29"/>
      <c r="AI722" s="29"/>
      <c r="AJ722" s="29"/>
    </row>
    <row r="723">
      <c r="C723" s="23"/>
      <c r="L723" s="24"/>
      <c r="M723" s="25"/>
      <c r="N723" s="24"/>
      <c r="O723" s="26"/>
      <c r="P723" s="24"/>
      <c r="V723" s="23"/>
      <c r="W723" s="27"/>
      <c r="X723" s="27"/>
      <c r="Y723" s="28"/>
      <c r="Z723" s="27"/>
      <c r="AA723" s="27"/>
      <c r="AB723" s="27"/>
      <c r="AC723" s="28"/>
      <c r="AD723" s="29"/>
      <c r="AE723" s="29"/>
      <c r="AF723" s="29"/>
      <c r="AG723" s="28"/>
      <c r="AH723" s="29"/>
      <c r="AI723" s="29"/>
      <c r="AJ723" s="29"/>
    </row>
    <row r="724">
      <c r="C724" s="23"/>
      <c r="L724" s="24"/>
      <c r="M724" s="25"/>
      <c r="N724" s="24"/>
      <c r="O724" s="26"/>
      <c r="P724" s="24"/>
      <c r="V724" s="23"/>
      <c r="W724" s="27"/>
      <c r="X724" s="27"/>
      <c r="Y724" s="28"/>
      <c r="Z724" s="27"/>
      <c r="AA724" s="27"/>
      <c r="AB724" s="27"/>
      <c r="AC724" s="28"/>
      <c r="AD724" s="29"/>
      <c r="AE724" s="29"/>
      <c r="AF724" s="29"/>
      <c r="AG724" s="28"/>
      <c r="AH724" s="29"/>
      <c r="AI724" s="29"/>
      <c r="AJ724" s="29"/>
    </row>
    <row r="725">
      <c r="C725" s="23"/>
      <c r="L725" s="24"/>
      <c r="M725" s="25"/>
      <c r="N725" s="24"/>
      <c r="O725" s="26"/>
      <c r="P725" s="24"/>
      <c r="V725" s="23"/>
      <c r="W725" s="27"/>
      <c r="X725" s="27"/>
      <c r="Y725" s="28"/>
      <c r="Z725" s="27"/>
      <c r="AA725" s="27"/>
      <c r="AB725" s="27"/>
      <c r="AC725" s="28"/>
      <c r="AD725" s="29"/>
      <c r="AE725" s="29"/>
      <c r="AF725" s="29"/>
      <c r="AG725" s="28"/>
      <c r="AH725" s="29"/>
      <c r="AI725" s="29"/>
      <c r="AJ725" s="29"/>
    </row>
    <row r="726">
      <c r="C726" s="23"/>
      <c r="L726" s="24"/>
      <c r="M726" s="25"/>
      <c r="N726" s="24"/>
      <c r="O726" s="26"/>
      <c r="P726" s="24"/>
      <c r="V726" s="23"/>
      <c r="W726" s="27"/>
      <c r="X726" s="27"/>
      <c r="Y726" s="28"/>
      <c r="Z726" s="27"/>
      <c r="AA726" s="27"/>
      <c r="AB726" s="27"/>
      <c r="AC726" s="28"/>
      <c r="AD726" s="29"/>
      <c r="AE726" s="29"/>
      <c r="AF726" s="29"/>
      <c r="AG726" s="28"/>
      <c r="AH726" s="29"/>
      <c r="AI726" s="29"/>
      <c r="AJ726" s="29"/>
    </row>
    <row r="727">
      <c r="C727" s="23"/>
      <c r="L727" s="24"/>
      <c r="M727" s="25"/>
      <c r="N727" s="24"/>
      <c r="O727" s="26"/>
      <c r="P727" s="24"/>
      <c r="V727" s="23"/>
      <c r="W727" s="27"/>
      <c r="X727" s="27"/>
      <c r="Y727" s="28"/>
      <c r="Z727" s="27"/>
      <c r="AA727" s="27"/>
      <c r="AB727" s="27"/>
      <c r="AC727" s="28"/>
      <c r="AD727" s="29"/>
      <c r="AE727" s="29"/>
      <c r="AF727" s="29"/>
      <c r="AG727" s="28"/>
      <c r="AH727" s="29"/>
      <c r="AI727" s="29"/>
      <c r="AJ727" s="29"/>
    </row>
    <row r="728">
      <c r="C728" s="23"/>
      <c r="L728" s="24"/>
      <c r="M728" s="25"/>
      <c r="N728" s="24"/>
      <c r="O728" s="26"/>
      <c r="P728" s="24"/>
      <c r="V728" s="23"/>
      <c r="W728" s="27"/>
      <c r="X728" s="27"/>
      <c r="Y728" s="28"/>
      <c r="Z728" s="27"/>
      <c r="AA728" s="27"/>
      <c r="AB728" s="27"/>
      <c r="AC728" s="28"/>
      <c r="AD728" s="29"/>
      <c r="AE728" s="29"/>
      <c r="AF728" s="29"/>
      <c r="AG728" s="28"/>
      <c r="AH728" s="29"/>
      <c r="AI728" s="29"/>
      <c r="AJ728" s="29"/>
    </row>
    <row r="729">
      <c r="C729" s="23"/>
      <c r="L729" s="24"/>
      <c r="M729" s="25"/>
      <c r="N729" s="24"/>
      <c r="O729" s="26"/>
      <c r="P729" s="24"/>
      <c r="V729" s="23"/>
      <c r="W729" s="27"/>
      <c r="X729" s="27"/>
      <c r="Y729" s="28"/>
      <c r="Z729" s="27"/>
      <c r="AA729" s="27"/>
      <c r="AB729" s="27"/>
      <c r="AC729" s="28"/>
      <c r="AD729" s="29"/>
      <c r="AE729" s="29"/>
      <c r="AF729" s="29"/>
      <c r="AG729" s="28"/>
      <c r="AH729" s="29"/>
      <c r="AI729" s="29"/>
      <c r="AJ729" s="29"/>
    </row>
    <row r="730">
      <c r="C730" s="23"/>
      <c r="L730" s="24"/>
      <c r="M730" s="25"/>
      <c r="N730" s="24"/>
      <c r="O730" s="26"/>
      <c r="P730" s="24"/>
      <c r="V730" s="23"/>
      <c r="W730" s="27"/>
      <c r="X730" s="27"/>
      <c r="Y730" s="28"/>
      <c r="Z730" s="27"/>
      <c r="AA730" s="27"/>
      <c r="AB730" s="27"/>
      <c r="AC730" s="28"/>
      <c r="AD730" s="29"/>
      <c r="AE730" s="29"/>
      <c r="AF730" s="29"/>
      <c r="AG730" s="28"/>
      <c r="AH730" s="29"/>
      <c r="AI730" s="29"/>
      <c r="AJ730" s="29"/>
    </row>
    <row r="731">
      <c r="C731" s="23"/>
      <c r="L731" s="24"/>
      <c r="M731" s="25"/>
      <c r="N731" s="24"/>
      <c r="O731" s="26"/>
      <c r="P731" s="24"/>
      <c r="V731" s="23"/>
      <c r="W731" s="27"/>
      <c r="X731" s="27"/>
      <c r="Y731" s="28"/>
      <c r="Z731" s="27"/>
      <c r="AA731" s="27"/>
      <c r="AB731" s="27"/>
      <c r="AC731" s="28"/>
      <c r="AD731" s="29"/>
      <c r="AE731" s="29"/>
      <c r="AF731" s="29"/>
      <c r="AG731" s="28"/>
      <c r="AH731" s="29"/>
      <c r="AI731" s="29"/>
      <c r="AJ731" s="29"/>
    </row>
    <row r="732">
      <c r="C732" s="23"/>
      <c r="L732" s="24"/>
      <c r="M732" s="25"/>
      <c r="N732" s="24"/>
      <c r="O732" s="26"/>
      <c r="P732" s="24"/>
      <c r="V732" s="23"/>
      <c r="W732" s="27"/>
      <c r="X732" s="27"/>
      <c r="Y732" s="28"/>
      <c r="Z732" s="27"/>
      <c r="AA732" s="27"/>
      <c r="AB732" s="27"/>
      <c r="AC732" s="28"/>
      <c r="AD732" s="29"/>
      <c r="AE732" s="29"/>
      <c r="AF732" s="29"/>
      <c r="AG732" s="28"/>
      <c r="AH732" s="29"/>
      <c r="AI732" s="29"/>
      <c r="AJ732" s="29"/>
    </row>
    <row r="733">
      <c r="C733" s="23"/>
      <c r="L733" s="24"/>
      <c r="M733" s="25"/>
      <c r="N733" s="24"/>
      <c r="O733" s="26"/>
      <c r="P733" s="24"/>
      <c r="V733" s="23"/>
      <c r="W733" s="27"/>
      <c r="X733" s="27"/>
      <c r="Y733" s="28"/>
      <c r="Z733" s="27"/>
      <c r="AA733" s="27"/>
      <c r="AB733" s="27"/>
      <c r="AC733" s="28"/>
      <c r="AD733" s="29"/>
      <c r="AE733" s="29"/>
      <c r="AF733" s="29"/>
      <c r="AG733" s="28"/>
      <c r="AH733" s="29"/>
      <c r="AI733" s="29"/>
      <c r="AJ733" s="29"/>
    </row>
    <row r="734">
      <c r="C734" s="23"/>
      <c r="L734" s="24"/>
      <c r="M734" s="25"/>
      <c r="N734" s="24"/>
      <c r="O734" s="26"/>
      <c r="P734" s="24"/>
      <c r="V734" s="23"/>
      <c r="W734" s="27"/>
      <c r="X734" s="27"/>
      <c r="Y734" s="28"/>
      <c r="Z734" s="27"/>
      <c r="AA734" s="27"/>
      <c r="AB734" s="27"/>
      <c r="AC734" s="28"/>
      <c r="AD734" s="29"/>
      <c r="AE734" s="29"/>
      <c r="AF734" s="29"/>
      <c r="AG734" s="28"/>
      <c r="AH734" s="29"/>
      <c r="AI734" s="29"/>
      <c r="AJ734" s="29"/>
    </row>
    <row r="735">
      <c r="C735" s="23"/>
      <c r="L735" s="24"/>
      <c r="M735" s="25"/>
      <c r="N735" s="24"/>
      <c r="O735" s="26"/>
      <c r="P735" s="24"/>
      <c r="V735" s="23"/>
      <c r="W735" s="27"/>
      <c r="X735" s="27"/>
      <c r="Y735" s="28"/>
      <c r="Z735" s="27"/>
      <c r="AA735" s="27"/>
      <c r="AB735" s="27"/>
      <c r="AC735" s="28"/>
      <c r="AD735" s="29"/>
      <c r="AE735" s="29"/>
      <c r="AF735" s="29"/>
      <c r="AG735" s="28"/>
      <c r="AH735" s="29"/>
      <c r="AI735" s="29"/>
      <c r="AJ735" s="29"/>
    </row>
    <row r="736">
      <c r="C736" s="23"/>
      <c r="L736" s="24"/>
      <c r="M736" s="25"/>
      <c r="N736" s="24"/>
      <c r="O736" s="26"/>
      <c r="P736" s="24"/>
      <c r="V736" s="23"/>
      <c r="W736" s="27"/>
      <c r="X736" s="27"/>
      <c r="Y736" s="28"/>
      <c r="Z736" s="27"/>
      <c r="AA736" s="27"/>
      <c r="AB736" s="27"/>
      <c r="AC736" s="28"/>
      <c r="AD736" s="29"/>
      <c r="AE736" s="29"/>
      <c r="AF736" s="29"/>
      <c r="AG736" s="28"/>
      <c r="AH736" s="29"/>
      <c r="AI736" s="29"/>
      <c r="AJ736" s="29"/>
    </row>
    <row r="737">
      <c r="C737" s="23"/>
      <c r="L737" s="24"/>
      <c r="M737" s="25"/>
      <c r="N737" s="24"/>
      <c r="O737" s="26"/>
      <c r="P737" s="24"/>
      <c r="V737" s="23"/>
      <c r="W737" s="27"/>
      <c r="X737" s="27"/>
      <c r="Y737" s="28"/>
      <c r="Z737" s="27"/>
      <c r="AA737" s="27"/>
      <c r="AB737" s="27"/>
      <c r="AC737" s="28"/>
      <c r="AD737" s="29"/>
      <c r="AE737" s="29"/>
      <c r="AF737" s="29"/>
      <c r="AG737" s="28"/>
      <c r="AH737" s="29"/>
      <c r="AI737" s="29"/>
      <c r="AJ737" s="29"/>
    </row>
    <row r="738">
      <c r="C738" s="23"/>
      <c r="L738" s="24"/>
      <c r="M738" s="25"/>
      <c r="N738" s="24"/>
      <c r="O738" s="26"/>
      <c r="P738" s="24"/>
      <c r="V738" s="23"/>
      <c r="W738" s="27"/>
      <c r="X738" s="27"/>
      <c r="Y738" s="28"/>
      <c r="Z738" s="27"/>
      <c r="AA738" s="27"/>
      <c r="AB738" s="27"/>
      <c r="AC738" s="28"/>
      <c r="AD738" s="29"/>
      <c r="AE738" s="29"/>
      <c r="AF738" s="29"/>
      <c r="AG738" s="28"/>
      <c r="AH738" s="29"/>
      <c r="AI738" s="29"/>
      <c r="AJ738" s="29"/>
    </row>
    <row r="739">
      <c r="C739" s="23"/>
      <c r="L739" s="24"/>
      <c r="M739" s="25"/>
      <c r="N739" s="24"/>
      <c r="O739" s="26"/>
      <c r="P739" s="24"/>
      <c r="V739" s="23"/>
      <c r="W739" s="27"/>
      <c r="X739" s="27"/>
      <c r="Y739" s="28"/>
      <c r="Z739" s="27"/>
      <c r="AA739" s="27"/>
      <c r="AB739" s="27"/>
      <c r="AC739" s="28"/>
      <c r="AD739" s="29"/>
      <c r="AE739" s="29"/>
      <c r="AF739" s="29"/>
      <c r="AG739" s="28"/>
      <c r="AH739" s="29"/>
      <c r="AI739" s="29"/>
      <c r="AJ739" s="29"/>
    </row>
    <row r="740">
      <c r="C740" s="23"/>
      <c r="L740" s="24"/>
      <c r="M740" s="25"/>
      <c r="N740" s="24"/>
      <c r="O740" s="26"/>
      <c r="P740" s="24"/>
      <c r="V740" s="23"/>
      <c r="W740" s="27"/>
      <c r="X740" s="27"/>
      <c r="Y740" s="28"/>
      <c r="Z740" s="27"/>
      <c r="AA740" s="27"/>
      <c r="AB740" s="27"/>
      <c r="AC740" s="28"/>
      <c r="AD740" s="29"/>
      <c r="AE740" s="29"/>
      <c r="AF740" s="29"/>
      <c r="AG740" s="28"/>
      <c r="AH740" s="29"/>
      <c r="AI740" s="29"/>
      <c r="AJ740" s="29"/>
    </row>
    <row r="741">
      <c r="C741" s="23"/>
      <c r="L741" s="24"/>
      <c r="M741" s="25"/>
      <c r="N741" s="24"/>
      <c r="O741" s="26"/>
      <c r="P741" s="24"/>
      <c r="V741" s="23"/>
      <c r="W741" s="27"/>
      <c r="X741" s="27"/>
      <c r="Y741" s="28"/>
      <c r="Z741" s="27"/>
      <c r="AA741" s="27"/>
      <c r="AB741" s="27"/>
      <c r="AC741" s="28"/>
      <c r="AD741" s="29"/>
      <c r="AE741" s="29"/>
      <c r="AF741" s="29"/>
      <c r="AG741" s="28"/>
      <c r="AH741" s="29"/>
      <c r="AI741" s="29"/>
      <c r="AJ741" s="29"/>
    </row>
    <row r="742">
      <c r="C742" s="23"/>
      <c r="L742" s="24"/>
      <c r="M742" s="25"/>
      <c r="N742" s="24"/>
      <c r="O742" s="26"/>
      <c r="P742" s="24"/>
      <c r="V742" s="23"/>
      <c r="W742" s="27"/>
      <c r="X742" s="27"/>
      <c r="Y742" s="28"/>
      <c r="Z742" s="27"/>
      <c r="AA742" s="27"/>
      <c r="AB742" s="27"/>
      <c r="AC742" s="28"/>
      <c r="AD742" s="29"/>
      <c r="AE742" s="29"/>
      <c r="AF742" s="29"/>
      <c r="AG742" s="28"/>
      <c r="AH742" s="29"/>
      <c r="AI742" s="29"/>
      <c r="AJ742" s="29"/>
    </row>
    <row r="743">
      <c r="C743" s="23"/>
      <c r="L743" s="24"/>
      <c r="M743" s="25"/>
      <c r="N743" s="24"/>
      <c r="O743" s="26"/>
      <c r="P743" s="24"/>
      <c r="V743" s="23"/>
      <c r="W743" s="27"/>
      <c r="X743" s="27"/>
      <c r="Y743" s="28"/>
      <c r="Z743" s="27"/>
      <c r="AA743" s="27"/>
      <c r="AB743" s="27"/>
      <c r="AC743" s="28"/>
      <c r="AD743" s="29"/>
      <c r="AE743" s="29"/>
      <c r="AF743" s="29"/>
      <c r="AG743" s="28"/>
      <c r="AH743" s="29"/>
      <c r="AI743" s="29"/>
      <c r="AJ743" s="29"/>
    </row>
    <row r="744">
      <c r="C744" s="23"/>
      <c r="L744" s="24"/>
      <c r="M744" s="25"/>
      <c r="N744" s="24"/>
      <c r="O744" s="26"/>
      <c r="P744" s="24"/>
      <c r="V744" s="23"/>
      <c r="W744" s="27"/>
      <c r="X744" s="27"/>
      <c r="Y744" s="28"/>
      <c r="Z744" s="27"/>
      <c r="AA744" s="27"/>
      <c r="AB744" s="27"/>
      <c r="AC744" s="28"/>
      <c r="AD744" s="29"/>
      <c r="AE744" s="29"/>
      <c r="AF744" s="29"/>
      <c r="AG744" s="28"/>
      <c r="AH744" s="29"/>
      <c r="AI744" s="29"/>
      <c r="AJ744" s="29"/>
    </row>
    <row r="745">
      <c r="C745" s="23"/>
      <c r="L745" s="24"/>
      <c r="M745" s="25"/>
      <c r="N745" s="24"/>
      <c r="O745" s="26"/>
      <c r="P745" s="24"/>
      <c r="V745" s="23"/>
      <c r="W745" s="27"/>
      <c r="X745" s="27"/>
      <c r="Y745" s="28"/>
      <c r="Z745" s="27"/>
      <c r="AA745" s="27"/>
      <c r="AB745" s="27"/>
      <c r="AC745" s="28"/>
      <c r="AD745" s="29"/>
      <c r="AE745" s="29"/>
      <c r="AF745" s="29"/>
      <c r="AG745" s="28"/>
      <c r="AH745" s="29"/>
      <c r="AI745" s="29"/>
      <c r="AJ745" s="29"/>
    </row>
    <row r="746">
      <c r="C746" s="23"/>
      <c r="L746" s="24"/>
      <c r="M746" s="25"/>
      <c r="N746" s="24"/>
      <c r="O746" s="26"/>
      <c r="P746" s="24"/>
      <c r="V746" s="23"/>
      <c r="W746" s="27"/>
      <c r="X746" s="27"/>
      <c r="Y746" s="28"/>
      <c r="Z746" s="27"/>
      <c r="AA746" s="27"/>
      <c r="AB746" s="27"/>
      <c r="AC746" s="28"/>
      <c r="AD746" s="29"/>
      <c r="AE746" s="29"/>
      <c r="AF746" s="29"/>
      <c r="AG746" s="28"/>
      <c r="AH746" s="29"/>
      <c r="AI746" s="29"/>
      <c r="AJ746" s="29"/>
    </row>
    <row r="747">
      <c r="C747" s="23"/>
      <c r="L747" s="24"/>
      <c r="M747" s="25"/>
      <c r="N747" s="24"/>
      <c r="O747" s="26"/>
      <c r="P747" s="24"/>
      <c r="V747" s="23"/>
      <c r="W747" s="27"/>
      <c r="X747" s="27"/>
      <c r="Y747" s="28"/>
      <c r="Z747" s="27"/>
      <c r="AA747" s="27"/>
      <c r="AB747" s="27"/>
      <c r="AC747" s="28"/>
      <c r="AD747" s="29"/>
      <c r="AE747" s="29"/>
      <c r="AF747" s="29"/>
      <c r="AG747" s="28"/>
      <c r="AH747" s="29"/>
      <c r="AI747" s="29"/>
      <c r="AJ747" s="29"/>
    </row>
    <row r="748">
      <c r="C748" s="23"/>
      <c r="L748" s="24"/>
      <c r="M748" s="25"/>
      <c r="N748" s="24"/>
      <c r="O748" s="26"/>
      <c r="P748" s="24"/>
      <c r="V748" s="23"/>
      <c r="W748" s="27"/>
      <c r="X748" s="27"/>
      <c r="Y748" s="28"/>
      <c r="Z748" s="27"/>
      <c r="AA748" s="27"/>
      <c r="AB748" s="27"/>
      <c r="AC748" s="28"/>
      <c r="AD748" s="29"/>
      <c r="AE748" s="29"/>
      <c r="AF748" s="29"/>
      <c r="AG748" s="28"/>
      <c r="AH748" s="29"/>
      <c r="AI748" s="29"/>
      <c r="AJ748" s="29"/>
    </row>
    <row r="749">
      <c r="C749" s="23"/>
      <c r="L749" s="24"/>
      <c r="M749" s="25"/>
      <c r="N749" s="24"/>
      <c r="O749" s="26"/>
      <c r="P749" s="24"/>
      <c r="V749" s="23"/>
      <c r="W749" s="27"/>
      <c r="X749" s="27"/>
      <c r="Y749" s="28"/>
      <c r="Z749" s="27"/>
      <c r="AA749" s="27"/>
      <c r="AB749" s="27"/>
      <c r="AC749" s="28"/>
      <c r="AD749" s="29"/>
      <c r="AE749" s="29"/>
      <c r="AF749" s="29"/>
      <c r="AG749" s="28"/>
      <c r="AH749" s="29"/>
      <c r="AI749" s="29"/>
      <c r="AJ749" s="29"/>
    </row>
    <row r="750">
      <c r="C750" s="23"/>
      <c r="L750" s="24"/>
      <c r="M750" s="25"/>
      <c r="N750" s="24"/>
      <c r="O750" s="26"/>
      <c r="P750" s="24"/>
      <c r="V750" s="23"/>
      <c r="W750" s="27"/>
      <c r="X750" s="27"/>
      <c r="Y750" s="28"/>
      <c r="Z750" s="27"/>
      <c r="AA750" s="27"/>
      <c r="AB750" s="27"/>
      <c r="AC750" s="28"/>
      <c r="AD750" s="29"/>
      <c r="AE750" s="29"/>
      <c r="AF750" s="29"/>
      <c r="AG750" s="28"/>
      <c r="AH750" s="29"/>
      <c r="AI750" s="29"/>
      <c r="AJ750" s="29"/>
    </row>
    <row r="751">
      <c r="C751" s="23"/>
      <c r="L751" s="24"/>
      <c r="M751" s="25"/>
      <c r="N751" s="24"/>
      <c r="O751" s="26"/>
      <c r="P751" s="24"/>
      <c r="V751" s="23"/>
      <c r="W751" s="27"/>
      <c r="X751" s="27"/>
      <c r="Y751" s="28"/>
      <c r="Z751" s="27"/>
      <c r="AA751" s="27"/>
      <c r="AB751" s="27"/>
      <c r="AC751" s="28"/>
      <c r="AD751" s="29"/>
      <c r="AE751" s="29"/>
      <c r="AF751" s="29"/>
      <c r="AG751" s="28"/>
      <c r="AH751" s="29"/>
      <c r="AI751" s="29"/>
      <c r="AJ751" s="29"/>
    </row>
    <row r="752">
      <c r="C752" s="23"/>
      <c r="L752" s="24"/>
      <c r="M752" s="25"/>
      <c r="N752" s="24"/>
      <c r="O752" s="26"/>
      <c r="P752" s="24"/>
      <c r="V752" s="23"/>
      <c r="W752" s="27"/>
      <c r="X752" s="27"/>
      <c r="Y752" s="28"/>
      <c r="Z752" s="27"/>
      <c r="AA752" s="27"/>
      <c r="AB752" s="27"/>
      <c r="AC752" s="28"/>
      <c r="AD752" s="29"/>
      <c r="AE752" s="29"/>
      <c r="AF752" s="29"/>
      <c r="AG752" s="28"/>
      <c r="AH752" s="29"/>
      <c r="AI752" s="29"/>
      <c r="AJ752" s="29"/>
    </row>
    <row r="753">
      <c r="C753" s="23"/>
      <c r="L753" s="24"/>
      <c r="M753" s="25"/>
      <c r="N753" s="24"/>
      <c r="O753" s="26"/>
      <c r="P753" s="24"/>
      <c r="V753" s="23"/>
      <c r="W753" s="27"/>
      <c r="X753" s="27"/>
      <c r="Y753" s="28"/>
      <c r="Z753" s="27"/>
      <c r="AA753" s="27"/>
      <c r="AB753" s="27"/>
      <c r="AC753" s="28"/>
      <c r="AD753" s="29"/>
      <c r="AE753" s="29"/>
      <c r="AF753" s="29"/>
      <c r="AG753" s="28"/>
      <c r="AH753" s="29"/>
      <c r="AI753" s="29"/>
      <c r="AJ753" s="29"/>
    </row>
    <row r="754">
      <c r="C754" s="23"/>
      <c r="L754" s="24"/>
      <c r="M754" s="25"/>
      <c r="N754" s="24"/>
      <c r="O754" s="26"/>
      <c r="P754" s="24"/>
      <c r="V754" s="23"/>
      <c r="W754" s="27"/>
      <c r="X754" s="27"/>
      <c r="Y754" s="28"/>
      <c r="Z754" s="27"/>
      <c r="AA754" s="27"/>
      <c r="AB754" s="27"/>
      <c r="AC754" s="28"/>
      <c r="AD754" s="29"/>
      <c r="AE754" s="29"/>
      <c r="AF754" s="29"/>
      <c r="AG754" s="28"/>
      <c r="AH754" s="29"/>
      <c r="AI754" s="29"/>
      <c r="AJ754" s="29"/>
    </row>
    <row r="755">
      <c r="C755" s="23"/>
      <c r="L755" s="24"/>
      <c r="M755" s="25"/>
      <c r="N755" s="24"/>
      <c r="O755" s="26"/>
      <c r="P755" s="24"/>
      <c r="V755" s="23"/>
      <c r="W755" s="27"/>
      <c r="X755" s="27"/>
      <c r="Y755" s="28"/>
      <c r="Z755" s="27"/>
      <c r="AA755" s="27"/>
      <c r="AB755" s="27"/>
      <c r="AC755" s="28"/>
      <c r="AD755" s="29"/>
      <c r="AE755" s="29"/>
      <c r="AF755" s="29"/>
      <c r="AG755" s="28"/>
      <c r="AH755" s="29"/>
      <c r="AI755" s="29"/>
      <c r="AJ755" s="29"/>
    </row>
    <row r="756">
      <c r="C756" s="23"/>
      <c r="L756" s="24"/>
      <c r="M756" s="25"/>
      <c r="N756" s="24"/>
      <c r="O756" s="26"/>
      <c r="P756" s="24"/>
      <c r="V756" s="23"/>
      <c r="W756" s="27"/>
      <c r="X756" s="27"/>
      <c r="Y756" s="28"/>
      <c r="Z756" s="27"/>
      <c r="AA756" s="27"/>
      <c r="AB756" s="27"/>
      <c r="AC756" s="28"/>
      <c r="AD756" s="29"/>
      <c r="AE756" s="29"/>
      <c r="AF756" s="29"/>
      <c r="AG756" s="28"/>
      <c r="AH756" s="29"/>
      <c r="AI756" s="29"/>
      <c r="AJ756" s="29"/>
    </row>
    <row r="757">
      <c r="C757" s="23"/>
      <c r="L757" s="24"/>
      <c r="M757" s="25"/>
      <c r="N757" s="24"/>
      <c r="O757" s="26"/>
      <c r="P757" s="24"/>
      <c r="V757" s="23"/>
      <c r="W757" s="27"/>
      <c r="X757" s="27"/>
      <c r="Y757" s="28"/>
      <c r="Z757" s="27"/>
      <c r="AA757" s="27"/>
      <c r="AB757" s="27"/>
      <c r="AC757" s="28"/>
      <c r="AD757" s="29"/>
      <c r="AE757" s="29"/>
      <c r="AF757" s="29"/>
      <c r="AG757" s="28"/>
      <c r="AH757" s="29"/>
      <c r="AI757" s="29"/>
      <c r="AJ757" s="29"/>
    </row>
    <row r="758">
      <c r="C758" s="23"/>
      <c r="L758" s="24"/>
      <c r="M758" s="25"/>
      <c r="N758" s="24"/>
      <c r="O758" s="26"/>
      <c r="P758" s="24"/>
      <c r="V758" s="23"/>
      <c r="W758" s="27"/>
      <c r="X758" s="27"/>
      <c r="Y758" s="28"/>
      <c r="Z758" s="27"/>
      <c r="AA758" s="27"/>
      <c r="AB758" s="27"/>
      <c r="AC758" s="28"/>
      <c r="AD758" s="29"/>
      <c r="AE758" s="29"/>
      <c r="AF758" s="29"/>
      <c r="AG758" s="28"/>
      <c r="AH758" s="29"/>
      <c r="AI758" s="29"/>
      <c r="AJ758" s="29"/>
    </row>
    <row r="759">
      <c r="C759" s="23"/>
      <c r="L759" s="24"/>
      <c r="M759" s="25"/>
      <c r="N759" s="24"/>
      <c r="O759" s="26"/>
      <c r="P759" s="24"/>
      <c r="V759" s="23"/>
      <c r="W759" s="27"/>
      <c r="X759" s="27"/>
      <c r="Y759" s="28"/>
      <c r="Z759" s="27"/>
      <c r="AA759" s="27"/>
      <c r="AB759" s="27"/>
      <c r="AC759" s="28"/>
      <c r="AD759" s="29"/>
      <c r="AE759" s="29"/>
      <c r="AF759" s="29"/>
      <c r="AG759" s="28"/>
      <c r="AH759" s="29"/>
      <c r="AI759" s="29"/>
      <c r="AJ759" s="29"/>
    </row>
    <row r="760">
      <c r="C760" s="23"/>
      <c r="L760" s="24"/>
      <c r="M760" s="25"/>
      <c r="N760" s="24"/>
      <c r="O760" s="26"/>
      <c r="P760" s="24"/>
      <c r="V760" s="23"/>
      <c r="W760" s="27"/>
      <c r="X760" s="27"/>
      <c r="Y760" s="28"/>
      <c r="Z760" s="27"/>
      <c r="AA760" s="27"/>
      <c r="AB760" s="27"/>
      <c r="AC760" s="28"/>
      <c r="AD760" s="29"/>
      <c r="AE760" s="29"/>
      <c r="AF760" s="29"/>
      <c r="AG760" s="28"/>
      <c r="AH760" s="29"/>
      <c r="AI760" s="29"/>
      <c r="AJ760" s="29"/>
    </row>
    <row r="761">
      <c r="C761" s="23"/>
      <c r="L761" s="24"/>
      <c r="M761" s="25"/>
      <c r="N761" s="24"/>
      <c r="O761" s="26"/>
      <c r="P761" s="24"/>
      <c r="V761" s="23"/>
      <c r="W761" s="27"/>
      <c r="X761" s="27"/>
      <c r="Y761" s="28"/>
      <c r="Z761" s="27"/>
      <c r="AA761" s="27"/>
      <c r="AB761" s="27"/>
      <c r="AC761" s="28"/>
      <c r="AD761" s="29"/>
      <c r="AE761" s="29"/>
      <c r="AF761" s="29"/>
      <c r="AG761" s="28"/>
      <c r="AH761" s="29"/>
      <c r="AI761" s="29"/>
      <c r="AJ761" s="29"/>
    </row>
    <row r="762">
      <c r="C762" s="23"/>
      <c r="L762" s="24"/>
      <c r="M762" s="25"/>
      <c r="N762" s="24"/>
      <c r="O762" s="26"/>
      <c r="P762" s="24"/>
      <c r="V762" s="23"/>
      <c r="W762" s="27"/>
      <c r="X762" s="27"/>
      <c r="Y762" s="28"/>
      <c r="Z762" s="27"/>
      <c r="AA762" s="27"/>
      <c r="AB762" s="27"/>
      <c r="AC762" s="28"/>
      <c r="AD762" s="29"/>
      <c r="AE762" s="29"/>
      <c r="AF762" s="29"/>
      <c r="AG762" s="28"/>
      <c r="AH762" s="29"/>
      <c r="AI762" s="29"/>
      <c r="AJ762" s="29"/>
    </row>
    <row r="763">
      <c r="C763" s="23"/>
      <c r="L763" s="24"/>
      <c r="M763" s="25"/>
      <c r="N763" s="24"/>
      <c r="O763" s="26"/>
      <c r="P763" s="24"/>
      <c r="V763" s="23"/>
      <c r="W763" s="27"/>
      <c r="X763" s="27"/>
      <c r="Y763" s="28"/>
      <c r="Z763" s="27"/>
      <c r="AA763" s="27"/>
      <c r="AB763" s="27"/>
      <c r="AC763" s="28"/>
      <c r="AD763" s="29"/>
      <c r="AE763" s="29"/>
      <c r="AF763" s="29"/>
      <c r="AG763" s="28"/>
      <c r="AH763" s="29"/>
      <c r="AI763" s="29"/>
      <c r="AJ763" s="29"/>
    </row>
    <row r="764">
      <c r="C764" s="23"/>
      <c r="L764" s="24"/>
      <c r="M764" s="25"/>
      <c r="N764" s="24"/>
      <c r="O764" s="26"/>
      <c r="P764" s="24"/>
      <c r="V764" s="23"/>
      <c r="W764" s="27"/>
      <c r="X764" s="27"/>
      <c r="Y764" s="28"/>
      <c r="Z764" s="27"/>
      <c r="AA764" s="27"/>
      <c r="AB764" s="27"/>
      <c r="AC764" s="28"/>
      <c r="AD764" s="29"/>
      <c r="AE764" s="29"/>
      <c r="AF764" s="29"/>
      <c r="AG764" s="28"/>
      <c r="AH764" s="29"/>
      <c r="AI764" s="29"/>
      <c r="AJ764" s="29"/>
    </row>
    <row r="765">
      <c r="C765" s="23"/>
      <c r="L765" s="24"/>
      <c r="M765" s="25"/>
      <c r="N765" s="24"/>
      <c r="O765" s="26"/>
      <c r="P765" s="24"/>
      <c r="V765" s="23"/>
      <c r="W765" s="27"/>
      <c r="X765" s="27"/>
      <c r="Y765" s="28"/>
      <c r="Z765" s="27"/>
      <c r="AA765" s="27"/>
      <c r="AB765" s="27"/>
      <c r="AC765" s="28"/>
      <c r="AD765" s="29"/>
      <c r="AE765" s="29"/>
      <c r="AF765" s="29"/>
      <c r="AG765" s="28"/>
      <c r="AH765" s="29"/>
      <c r="AI765" s="29"/>
      <c r="AJ765" s="29"/>
    </row>
    <row r="766">
      <c r="C766" s="23"/>
      <c r="L766" s="24"/>
      <c r="M766" s="25"/>
      <c r="N766" s="24"/>
      <c r="O766" s="26"/>
      <c r="P766" s="24"/>
      <c r="V766" s="23"/>
      <c r="W766" s="27"/>
      <c r="X766" s="27"/>
      <c r="Y766" s="28"/>
      <c r="Z766" s="27"/>
      <c r="AA766" s="27"/>
      <c r="AB766" s="27"/>
      <c r="AC766" s="28"/>
      <c r="AD766" s="29"/>
      <c r="AE766" s="29"/>
      <c r="AF766" s="29"/>
      <c r="AG766" s="28"/>
      <c r="AH766" s="29"/>
      <c r="AI766" s="29"/>
      <c r="AJ766" s="29"/>
    </row>
    <row r="767">
      <c r="C767" s="23"/>
      <c r="L767" s="24"/>
      <c r="M767" s="25"/>
      <c r="N767" s="24"/>
      <c r="O767" s="26"/>
      <c r="P767" s="24"/>
      <c r="V767" s="23"/>
      <c r="W767" s="27"/>
      <c r="X767" s="27"/>
      <c r="Y767" s="28"/>
      <c r="Z767" s="27"/>
      <c r="AA767" s="27"/>
      <c r="AB767" s="27"/>
      <c r="AC767" s="28"/>
      <c r="AD767" s="29"/>
      <c r="AE767" s="29"/>
      <c r="AF767" s="29"/>
      <c r="AG767" s="28"/>
      <c r="AH767" s="29"/>
      <c r="AI767" s="29"/>
      <c r="AJ767" s="29"/>
    </row>
    <row r="768">
      <c r="C768" s="23"/>
      <c r="L768" s="24"/>
      <c r="M768" s="25"/>
      <c r="N768" s="24"/>
      <c r="O768" s="26"/>
      <c r="P768" s="24"/>
      <c r="V768" s="23"/>
      <c r="W768" s="27"/>
      <c r="X768" s="27"/>
      <c r="Y768" s="28"/>
      <c r="Z768" s="27"/>
      <c r="AA768" s="27"/>
      <c r="AB768" s="27"/>
      <c r="AC768" s="28"/>
      <c r="AD768" s="29"/>
      <c r="AE768" s="29"/>
      <c r="AF768" s="29"/>
      <c r="AG768" s="28"/>
      <c r="AH768" s="29"/>
      <c r="AI768" s="29"/>
      <c r="AJ768" s="29"/>
    </row>
    <row r="769">
      <c r="C769" s="23"/>
      <c r="L769" s="24"/>
      <c r="M769" s="25"/>
      <c r="N769" s="24"/>
      <c r="O769" s="26"/>
      <c r="P769" s="24"/>
      <c r="V769" s="23"/>
      <c r="W769" s="27"/>
      <c r="X769" s="27"/>
      <c r="Y769" s="28"/>
      <c r="Z769" s="27"/>
      <c r="AA769" s="27"/>
      <c r="AB769" s="27"/>
      <c r="AC769" s="28"/>
      <c r="AD769" s="29"/>
      <c r="AE769" s="29"/>
      <c r="AF769" s="29"/>
      <c r="AG769" s="28"/>
      <c r="AH769" s="29"/>
      <c r="AI769" s="29"/>
      <c r="AJ769" s="29"/>
    </row>
    <row r="770">
      <c r="C770" s="23"/>
      <c r="L770" s="24"/>
      <c r="M770" s="25"/>
      <c r="N770" s="24"/>
      <c r="O770" s="26"/>
      <c r="P770" s="24"/>
      <c r="V770" s="23"/>
      <c r="W770" s="27"/>
      <c r="X770" s="27"/>
      <c r="Y770" s="28"/>
      <c r="Z770" s="27"/>
      <c r="AA770" s="27"/>
      <c r="AB770" s="27"/>
      <c r="AC770" s="28"/>
      <c r="AD770" s="29"/>
      <c r="AE770" s="29"/>
      <c r="AF770" s="29"/>
      <c r="AG770" s="28"/>
      <c r="AH770" s="29"/>
      <c r="AI770" s="29"/>
      <c r="AJ770" s="29"/>
    </row>
    <row r="771">
      <c r="C771" s="23"/>
      <c r="L771" s="24"/>
      <c r="M771" s="25"/>
      <c r="N771" s="24"/>
      <c r="O771" s="26"/>
      <c r="P771" s="24"/>
      <c r="V771" s="23"/>
      <c r="W771" s="27"/>
      <c r="X771" s="27"/>
      <c r="Y771" s="28"/>
      <c r="Z771" s="27"/>
      <c r="AA771" s="27"/>
      <c r="AB771" s="27"/>
      <c r="AC771" s="28"/>
      <c r="AD771" s="29"/>
      <c r="AE771" s="29"/>
      <c r="AF771" s="29"/>
      <c r="AG771" s="28"/>
      <c r="AH771" s="29"/>
      <c r="AI771" s="29"/>
      <c r="AJ771" s="29"/>
    </row>
    <row r="772">
      <c r="C772" s="23"/>
      <c r="L772" s="24"/>
      <c r="M772" s="25"/>
      <c r="N772" s="24"/>
      <c r="O772" s="26"/>
      <c r="P772" s="24"/>
      <c r="V772" s="23"/>
      <c r="W772" s="27"/>
      <c r="X772" s="27"/>
      <c r="Y772" s="28"/>
      <c r="Z772" s="27"/>
      <c r="AA772" s="27"/>
      <c r="AB772" s="27"/>
      <c r="AC772" s="28"/>
      <c r="AD772" s="29"/>
      <c r="AE772" s="29"/>
      <c r="AF772" s="29"/>
      <c r="AG772" s="28"/>
      <c r="AH772" s="29"/>
      <c r="AI772" s="29"/>
      <c r="AJ772" s="29"/>
    </row>
    <row r="773">
      <c r="C773" s="23"/>
      <c r="L773" s="24"/>
      <c r="M773" s="25"/>
      <c r="N773" s="24"/>
      <c r="O773" s="26"/>
      <c r="P773" s="24"/>
      <c r="V773" s="23"/>
      <c r="W773" s="27"/>
      <c r="X773" s="27"/>
      <c r="Y773" s="28"/>
      <c r="Z773" s="27"/>
      <c r="AA773" s="27"/>
      <c r="AB773" s="27"/>
      <c r="AC773" s="28"/>
      <c r="AD773" s="29"/>
      <c r="AE773" s="29"/>
      <c r="AF773" s="29"/>
      <c r="AG773" s="28"/>
      <c r="AH773" s="29"/>
      <c r="AI773" s="29"/>
      <c r="AJ773" s="29"/>
    </row>
    <row r="774">
      <c r="C774" s="23"/>
      <c r="L774" s="24"/>
      <c r="M774" s="25"/>
      <c r="N774" s="24"/>
      <c r="O774" s="26"/>
      <c r="P774" s="24"/>
      <c r="V774" s="23"/>
      <c r="W774" s="27"/>
      <c r="X774" s="27"/>
      <c r="Y774" s="28"/>
      <c r="Z774" s="27"/>
      <c r="AA774" s="27"/>
      <c r="AB774" s="27"/>
      <c r="AC774" s="28"/>
      <c r="AD774" s="29"/>
      <c r="AE774" s="29"/>
      <c r="AF774" s="29"/>
      <c r="AG774" s="28"/>
      <c r="AH774" s="29"/>
      <c r="AI774" s="29"/>
      <c r="AJ774" s="29"/>
    </row>
    <row r="775">
      <c r="C775" s="23"/>
      <c r="L775" s="24"/>
      <c r="M775" s="25"/>
      <c r="N775" s="24"/>
      <c r="O775" s="26"/>
      <c r="P775" s="24"/>
      <c r="V775" s="23"/>
      <c r="W775" s="27"/>
      <c r="X775" s="27"/>
      <c r="Y775" s="28"/>
      <c r="Z775" s="27"/>
      <c r="AA775" s="27"/>
      <c r="AB775" s="27"/>
      <c r="AC775" s="28"/>
      <c r="AD775" s="29"/>
      <c r="AE775" s="29"/>
      <c r="AF775" s="29"/>
      <c r="AG775" s="28"/>
      <c r="AH775" s="29"/>
      <c r="AI775" s="29"/>
      <c r="AJ775" s="29"/>
    </row>
    <row r="776">
      <c r="C776" s="23"/>
      <c r="L776" s="24"/>
      <c r="M776" s="25"/>
      <c r="N776" s="24"/>
      <c r="O776" s="26"/>
      <c r="P776" s="24"/>
      <c r="V776" s="23"/>
      <c r="W776" s="27"/>
      <c r="X776" s="27"/>
      <c r="Y776" s="28"/>
      <c r="Z776" s="27"/>
      <c r="AA776" s="27"/>
      <c r="AB776" s="27"/>
      <c r="AC776" s="28"/>
      <c r="AD776" s="29"/>
      <c r="AE776" s="29"/>
      <c r="AF776" s="29"/>
      <c r="AG776" s="28"/>
      <c r="AH776" s="29"/>
      <c r="AI776" s="29"/>
      <c r="AJ776" s="29"/>
    </row>
    <row r="777">
      <c r="C777" s="23"/>
      <c r="L777" s="24"/>
      <c r="M777" s="25"/>
      <c r="N777" s="24"/>
      <c r="O777" s="26"/>
      <c r="P777" s="24"/>
      <c r="V777" s="23"/>
      <c r="W777" s="27"/>
      <c r="X777" s="27"/>
      <c r="Y777" s="28"/>
      <c r="Z777" s="27"/>
      <c r="AA777" s="27"/>
      <c r="AB777" s="27"/>
      <c r="AC777" s="28"/>
      <c r="AD777" s="29"/>
      <c r="AE777" s="29"/>
      <c r="AF777" s="29"/>
      <c r="AG777" s="28"/>
      <c r="AH777" s="29"/>
      <c r="AI777" s="29"/>
      <c r="AJ777" s="29"/>
    </row>
    <row r="778">
      <c r="C778" s="23"/>
      <c r="L778" s="24"/>
      <c r="M778" s="25"/>
      <c r="N778" s="24"/>
      <c r="O778" s="26"/>
      <c r="P778" s="24"/>
      <c r="V778" s="23"/>
      <c r="W778" s="27"/>
      <c r="X778" s="27"/>
      <c r="Y778" s="28"/>
      <c r="Z778" s="27"/>
      <c r="AA778" s="27"/>
      <c r="AB778" s="27"/>
      <c r="AC778" s="28"/>
      <c r="AD778" s="29"/>
      <c r="AE778" s="29"/>
      <c r="AF778" s="29"/>
      <c r="AG778" s="28"/>
      <c r="AH778" s="29"/>
      <c r="AI778" s="29"/>
      <c r="AJ778" s="29"/>
    </row>
    <row r="779">
      <c r="C779" s="23"/>
      <c r="L779" s="24"/>
      <c r="M779" s="25"/>
      <c r="N779" s="24"/>
      <c r="O779" s="26"/>
      <c r="P779" s="24"/>
      <c r="V779" s="23"/>
      <c r="W779" s="27"/>
      <c r="X779" s="27"/>
      <c r="Y779" s="28"/>
      <c r="Z779" s="27"/>
      <c r="AA779" s="27"/>
      <c r="AB779" s="27"/>
      <c r="AC779" s="28"/>
      <c r="AD779" s="29"/>
      <c r="AE779" s="29"/>
      <c r="AF779" s="29"/>
      <c r="AG779" s="28"/>
      <c r="AH779" s="29"/>
      <c r="AI779" s="29"/>
      <c r="AJ779" s="29"/>
    </row>
    <row r="780">
      <c r="C780" s="23"/>
      <c r="L780" s="24"/>
      <c r="M780" s="25"/>
      <c r="N780" s="24"/>
      <c r="O780" s="26"/>
      <c r="P780" s="24"/>
      <c r="V780" s="23"/>
      <c r="W780" s="27"/>
      <c r="X780" s="27"/>
      <c r="Y780" s="28"/>
      <c r="Z780" s="27"/>
      <c r="AA780" s="27"/>
      <c r="AB780" s="27"/>
      <c r="AC780" s="28"/>
      <c r="AD780" s="29"/>
      <c r="AE780" s="29"/>
      <c r="AF780" s="29"/>
      <c r="AG780" s="28"/>
      <c r="AH780" s="29"/>
      <c r="AI780" s="29"/>
      <c r="AJ780" s="29"/>
    </row>
    <row r="781">
      <c r="C781" s="23"/>
      <c r="L781" s="24"/>
      <c r="M781" s="25"/>
      <c r="N781" s="24"/>
      <c r="O781" s="26"/>
      <c r="P781" s="24"/>
      <c r="V781" s="23"/>
      <c r="W781" s="27"/>
      <c r="X781" s="27"/>
      <c r="Y781" s="28"/>
      <c r="Z781" s="27"/>
      <c r="AA781" s="27"/>
      <c r="AB781" s="27"/>
      <c r="AC781" s="28"/>
      <c r="AD781" s="29"/>
      <c r="AE781" s="29"/>
      <c r="AF781" s="29"/>
      <c r="AG781" s="28"/>
      <c r="AH781" s="29"/>
      <c r="AI781" s="29"/>
      <c r="AJ781" s="29"/>
    </row>
    <row r="782">
      <c r="C782" s="23"/>
      <c r="L782" s="24"/>
      <c r="M782" s="25"/>
      <c r="N782" s="24"/>
      <c r="O782" s="26"/>
      <c r="P782" s="24"/>
      <c r="V782" s="23"/>
      <c r="W782" s="27"/>
      <c r="X782" s="27"/>
      <c r="Y782" s="28"/>
      <c r="Z782" s="27"/>
      <c r="AA782" s="27"/>
      <c r="AB782" s="27"/>
      <c r="AC782" s="28"/>
      <c r="AD782" s="29"/>
      <c r="AE782" s="29"/>
      <c r="AF782" s="29"/>
      <c r="AG782" s="28"/>
      <c r="AH782" s="29"/>
      <c r="AI782" s="29"/>
      <c r="AJ782" s="29"/>
    </row>
    <row r="783">
      <c r="C783" s="23"/>
      <c r="L783" s="24"/>
      <c r="M783" s="25"/>
      <c r="N783" s="24"/>
      <c r="O783" s="26"/>
      <c r="P783" s="24"/>
      <c r="V783" s="23"/>
      <c r="W783" s="27"/>
      <c r="X783" s="27"/>
      <c r="Y783" s="28"/>
      <c r="Z783" s="27"/>
      <c r="AA783" s="27"/>
      <c r="AB783" s="27"/>
      <c r="AC783" s="28"/>
      <c r="AD783" s="29"/>
      <c r="AE783" s="29"/>
      <c r="AF783" s="29"/>
      <c r="AG783" s="28"/>
      <c r="AH783" s="29"/>
      <c r="AI783" s="29"/>
      <c r="AJ783" s="29"/>
    </row>
    <row r="784">
      <c r="C784" s="23"/>
      <c r="L784" s="24"/>
      <c r="M784" s="25"/>
      <c r="N784" s="24"/>
      <c r="O784" s="26"/>
      <c r="P784" s="24"/>
      <c r="V784" s="23"/>
      <c r="W784" s="27"/>
      <c r="X784" s="27"/>
      <c r="Y784" s="28"/>
      <c r="Z784" s="27"/>
      <c r="AA784" s="27"/>
      <c r="AB784" s="27"/>
      <c r="AC784" s="28"/>
      <c r="AD784" s="29"/>
      <c r="AE784" s="29"/>
      <c r="AF784" s="29"/>
      <c r="AG784" s="28"/>
      <c r="AH784" s="29"/>
      <c r="AI784" s="29"/>
      <c r="AJ784" s="29"/>
    </row>
    <row r="785">
      <c r="C785" s="23"/>
      <c r="L785" s="24"/>
      <c r="M785" s="25"/>
      <c r="N785" s="24"/>
      <c r="O785" s="26"/>
      <c r="P785" s="24"/>
      <c r="V785" s="23"/>
      <c r="W785" s="27"/>
      <c r="X785" s="27"/>
      <c r="Y785" s="28"/>
      <c r="Z785" s="27"/>
      <c r="AA785" s="27"/>
      <c r="AB785" s="27"/>
      <c r="AC785" s="28"/>
      <c r="AD785" s="29"/>
      <c r="AE785" s="29"/>
      <c r="AF785" s="29"/>
      <c r="AG785" s="28"/>
      <c r="AH785" s="29"/>
      <c r="AI785" s="29"/>
      <c r="AJ785" s="29"/>
    </row>
    <row r="786">
      <c r="C786" s="23"/>
      <c r="L786" s="24"/>
      <c r="M786" s="25"/>
      <c r="N786" s="24"/>
      <c r="O786" s="26"/>
      <c r="P786" s="24"/>
      <c r="V786" s="23"/>
      <c r="W786" s="27"/>
      <c r="X786" s="27"/>
      <c r="Y786" s="28"/>
      <c r="Z786" s="27"/>
      <c r="AA786" s="27"/>
      <c r="AB786" s="27"/>
      <c r="AC786" s="28"/>
      <c r="AD786" s="29"/>
      <c r="AE786" s="29"/>
      <c r="AF786" s="29"/>
      <c r="AG786" s="28"/>
      <c r="AH786" s="29"/>
      <c r="AI786" s="29"/>
      <c r="AJ786" s="29"/>
    </row>
    <row r="787">
      <c r="C787" s="23"/>
      <c r="L787" s="24"/>
      <c r="M787" s="25"/>
      <c r="N787" s="24"/>
      <c r="O787" s="26"/>
      <c r="P787" s="24"/>
      <c r="V787" s="23"/>
      <c r="W787" s="27"/>
      <c r="X787" s="27"/>
      <c r="Y787" s="28"/>
      <c r="Z787" s="27"/>
      <c r="AA787" s="27"/>
      <c r="AB787" s="27"/>
      <c r="AC787" s="28"/>
      <c r="AD787" s="29"/>
      <c r="AE787" s="29"/>
      <c r="AF787" s="29"/>
      <c r="AG787" s="28"/>
      <c r="AH787" s="29"/>
      <c r="AI787" s="29"/>
      <c r="AJ787" s="29"/>
    </row>
    <row r="788">
      <c r="C788" s="23"/>
      <c r="L788" s="24"/>
      <c r="M788" s="25"/>
      <c r="N788" s="24"/>
      <c r="O788" s="26"/>
      <c r="P788" s="24"/>
      <c r="V788" s="23"/>
      <c r="W788" s="27"/>
      <c r="X788" s="27"/>
      <c r="Y788" s="28"/>
      <c r="Z788" s="27"/>
      <c r="AA788" s="27"/>
      <c r="AB788" s="27"/>
      <c r="AC788" s="28"/>
      <c r="AD788" s="29"/>
      <c r="AE788" s="29"/>
      <c r="AF788" s="29"/>
      <c r="AG788" s="28"/>
      <c r="AH788" s="29"/>
      <c r="AI788" s="29"/>
      <c r="AJ788" s="29"/>
    </row>
    <row r="789">
      <c r="C789" s="23"/>
      <c r="L789" s="24"/>
      <c r="M789" s="25"/>
      <c r="N789" s="24"/>
      <c r="O789" s="26"/>
      <c r="P789" s="24"/>
      <c r="V789" s="23"/>
      <c r="W789" s="27"/>
      <c r="X789" s="27"/>
      <c r="Y789" s="28"/>
      <c r="Z789" s="27"/>
      <c r="AA789" s="27"/>
      <c r="AB789" s="27"/>
      <c r="AC789" s="28"/>
      <c r="AD789" s="29"/>
      <c r="AE789" s="29"/>
      <c r="AF789" s="29"/>
      <c r="AG789" s="28"/>
      <c r="AH789" s="29"/>
      <c r="AI789" s="29"/>
      <c r="AJ789" s="29"/>
    </row>
    <row r="790">
      <c r="C790" s="23"/>
      <c r="L790" s="24"/>
      <c r="M790" s="25"/>
      <c r="N790" s="24"/>
      <c r="O790" s="26"/>
      <c r="P790" s="24"/>
      <c r="V790" s="23"/>
      <c r="W790" s="27"/>
      <c r="X790" s="27"/>
      <c r="Y790" s="28"/>
      <c r="Z790" s="27"/>
      <c r="AA790" s="27"/>
      <c r="AB790" s="27"/>
      <c r="AC790" s="28"/>
      <c r="AD790" s="29"/>
      <c r="AE790" s="29"/>
      <c r="AF790" s="29"/>
      <c r="AG790" s="28"/>
      <c r="AH790" s="29"/>
      <c r="AI790" s="29"/>
      <c r="AJ790" s="29"/>
    </row>
    <row r="791">
      <c r="C791" s="23"/>
      <c r="L791" s="24"/>
      <c r="M791" s="25"/>
      <c r="N791" s="24"/>
      <c r="O791" s="26"/>
      <c r="P791" s="24"/>
      <c r="V791" s="23"/>
      <c r="W791" s="27"/>
      <c r="X791" s="27"/>
      <c r="Y791" s="28"/>
      <c r="Z791" s="27"/>
      <c r="AA791" s="27"/>
      <c r="AB791" s="27"/>
      <c r="AC791" s="28"/>
      <c r="AD791" s="29"/>
      <c r="AE791" s="29"/>
      <c r="AF791" s="29"/>
      <c r="AG791" s="28"/>
      <c r="AH791" s="29"/>
      <c r="AI791" s="29"/>
      <c r="AJ791" s="29"/>
    </row>
    <row r="792">
      <c r="C792" s="23"/>
      <c r="L792" s="24"/>
      <c r="M792" s="25"/>
      <c r="N792" s="24"/>
      <c r="O792" s="26"/>
      <c r="P792" s="24"/>
      <c r="V792" s="23"/>
      <c r="W792" s="27"/>
      <c r="X792" s="27"/>
      <c r="Y792" s="28"/>
      <c r="Z792" s="27"/>
      <c r="AA792" s="27"/>
      <c r="AB792" s="27"/>
      <c r="AC792" s="28"/>
      <c r="AD792" s="29"/>
      <c r="AE792" s="29"/>
      <c r="AF792" s="29"/>
      <c r="AG792" s="28"/>
      <c r="AH792" s="29"/>
      <c r="AI792" s="29"/>
      <c r="AJ792" s="29"/>
    </row>
    <row r="793">
      <c r="C793" s="23"/>
      <c r="L793" s="24"/>
      <c r="M793" s="25"/>
      <c r="N793" s="24"/>
      <c r="O793" s="26"/>
      <c r="P793" s="24"/>
      <c r="V793" s="23"/>
      <c r="W793" s="27"/>
      <c r="X793" s="27"/>
      <c r="Y793" s="28"/>
      <c r="Z793" s="27"/>
      <c r="AA793" s="27"/>
      <c r="AB793" s="27"/>
      <c r="AC793" s="28"/>
      <c r="AD793" s="29"/>
      <c r="AE793" s="29"/>
      <c r="AF793" s="29"/>
      <c r="AG793" s="28"/>
      <c r="AH793" s="29"/>
      <c r="AI793" s="29"/>
      <c r="AJ793" s="29"/>
    </row>
    <row r="794">
      <c r="C794" s="23"/>
      <c r="L794" s="24"/>
      <c r="M794" s="25"/>
      <c r="N794" s="24"/>
      <c r="O794" s="26"/>
      <c r="P794" s="24"/>
      <c r="V794" s="23"/>
      <c r="W794" s="27"/>
      <c r="X794" s="27"/>
      <c r="Y794" s="28"/>
      <c r="Z794" s="27"/>
      <c r="AA794" s="27"/>
      <c r="AB794" s="27"/>
      <c r="AC794" s="28"/>
      <c r="AD794" s="29"/>
      <c r="AE794" s="29"/>
      <c r="AF794" s="29"/>
      <c r="AG794" s="28"/>
      <c r="AH794" s="29"/>
      <c r="AI794" s="29"/>
      <c r="AJ794" s="29"/>
    </row>
    <row r="795">
      <c r="C795" s="23"/>
      <c r="L795" s="24"/>
      <c r="M795" s="25"/>
      <c r="N795" s="24"/>
      <c r="O795" s="26"/>
      <c r="P795" s="24"/>
      <c r="V795" s="23"/>
      <c r="W795" s="27"/>
      <c r="X795" s="27"/>
      <c r="Y795" s="28"/>
      <c r="Z795" s="27"/>
      <c r="AA795" s="27"/>
      <c r="AB795" s="27"/>
      <c r="AC795" s="28"/>
      <c r="AD795" s="29"/>
      <c r="AE795" s="29"/>
      <c r="AF795" s="29"/>
      <c r="AG795" s="28"/>
      <c r="AH795" s="29"/>
      <c r="AI795" s="29"/>
      <c r="AJ795" s="29"/>
    </row>
    <row r="796">
      <c r="C796" s="23"/>
      <c r="L796" s="24"/>
      <c r="M796" s="25"/>
      <c r="N796" s="24"/>
      <c r="O796" s="26"/>
      <c r="P796" s="24"/>
      <c r="V796" s="23"/>
      <c r="W796" s="27"/>
      <c r="X796" s="27"/>
      <c r="Y796" s="28"/>
      <c r="Z796" s="27"/>
      <c r="AA796" s="27"/>
      <c r="AB796" s="27"/>
      <c r="AC796" s="28"/>
      <c r="AD796" s="29"/>
      <c r="AE796" s="29"/>
      <c r="AF796" s="29"/>
      <c r="AG796" s="28"/>
      <c r="AH796" s="29"/>
      <c r="AI796" s="29"/>
      <c r="AJ796" s="29"/>
    </row>
    <row r="797">
      <c r="C797" s="23"/>
      <c r="L797" s="24"/>
      <c r="M797" s="25"/>
      <c r="N797" s="24"/>
      <c r="O797" s="26"/>
      <c r="P797" s="24"/>
      <c r="V797" s="23"/>
      <c r="W797" s="27"/>
      <c r="X797" s="27"/>
      <c r="Y797" s="28"/>
      <c r="Z797" s="27"/>
      <c r="AA797" s="27"/>
      <c r="AB797" s="27"/>
      <c r="AC797" s="28"/>
      <c r="AD797" s="29"/>
      <c r="AE797" s="29"/>
      <c r="AF797" s="29"/>
      <c r="AG797" s="28"/>
      <c r="AH797" s="29"/>
      <c r="AI797" s="29"/>
      <c r="AJ797" s="29"/>
    </row>
    <row r="798">
      <c r="C798" s="23"/>
      <c r="L798" s="24"/>
      <c r="M798" s="25"/>
      <c r="N798" s="24"/>
      <c r="O798" s="26"/>
      <c r="P798" s="24"/>
      <c r="V798" s="23"/>
      <c r="W798" s="27"/>
      <c r="X798" s="27"/>
      <c r="Y798" s="28"/>
      <c r="Z798" s="27"/>
      <c r="AA798" s="27"/>
      <c r="AB798" s="27"/>
      <c r="AC798" s="28"/>
      <c r="AD798" s="29"/>
      <c r="AE798" s="29"/>
      <c r="AF798" s="29"/>
      <c r="AG798" s="28"/>
      <c r="AH798" s="29"/>
      <c r="AI798" s="29"/>
      <c r="AJ798" s="29"/>
    </row>
    <row r="799">
      <c r="C799" s="23"/>
      <c r="L799" s="24"/>
      <c r="M799" s="25"/>
      <c r="N799" s="24"/>
      <c r="O799" s="26"/>
      <c r="P799" s="24"/>
      <c r="V799" s="23"/>
      <c r="W799" s="27"/>
      <c r="X799" s="27"/>
      <c r="Y799" s="28"/>
      <c r="Z799" s="27"/>
      <c r="AA799" s="27"/>
      <c r="AB799" s="27"/>
      <c r="AC799" s="28"/>
      <c r="AD799" s="29"/>
      <c r="AE799" s="29"/>
      <c r="AF799" s="29"/>
      <c r="AG799" s="28"/>
      <c r="AH799" s="29"/>
      <c r="AI799" s="29"/>
      <c r="AJ799" s="29"/>
    </row>
    <row r="800">
      <c r="C800" s="23"/>
      <c r="L800" s="24"/>
      <c r="M800" s="25"/>
      <c r="N800" s="24"/>
      <c r="O800" s="26"/>
      <c r="P800" s="24"/>
      <c r="V800" s="23"/>
      <c r="W800" s="27"/>
      <c r="X800" s="27"/>
      <c r="Y800" s="28"/>
      <c r="Z800" s="27"/>
      <c r="AA800" s="27"/>
      <c r="AB800" s="27"/>
      <c r="AC800" s="28"/>
      <c r="AD800" s="29"/>
      <c r="AE800" s="29"/>
      <c r="AF800" s="29"/>
      <c r="AG800" s="28"/>
      <c r="AH800" s="29"/>
      <c r="AI800" s="29"/>
      <c r="AJ800" s="29"/>
    </row>
    <row r="801">
      <c r="C801" s="23"/>
      <c r="L801" s="24"/>
      <c r="M801" s="25"/>
      <c r="N801" s="24"/>
      <c r="O801" s="26"/>
      <c r="P801" s="24"/>
      <c r="V801" s="23"/>
      <c r="W801" s="27"/>
      <c r="X801" s="27"/>
      <c r="Y801" s="28"/>
      <c r="Z801" s="27"/>
      <c r="AA801" s="27"/>
      <c r="AB801" s="27"/>
      <c r="AC801" s="28"/>
      <c r="AD801" s="29"/>
      <c r="AE801" s="29"/>
      <c r="AF801" s="29"/>
      <c r="AG801" s="28"/>
      <c r="AH801" s="29"/>
      <c r="AI801" s="29"/>
      <c r="AJ801" s="29"/>
    </row>
    <row r="802">
      <c r="C802" s="23"/>
      <c r="L802" s="24"/>
      <c r="M802" s="25"/>
      <c r="N802" s="24"/>
      <c r="O802" s="26"/>
      <c r="P802" s="24"/>
      <c r="V802" s="23"/>
      <c r="W802" s="27"/>
      <c r="X802" s="27"/>
      <c r="Y802" s="28"/>
      <c r="Z802" s="27"/>
      <c r="AA802" s="27"/>
      <c r="AB802" s="27"/>
      <c r="AC802" s="28"/>
      <c r="AD802" s="29"/>
      <c r="AE802" s="29"/>
      <c r="AF802" s="29"/>
      <c r="AG802" s="28"/>
      <c r="AH802" s="29"/>
      <c r="AI802" s="29"/>
      <c r="AJ802" s="29"/>
    </row>
    <row r="803">
      <c r="C803" s="23"/>
      <c r="L803" s="24"/>
      <c r="M803" s="25"/>
      <c r="N803" s="24"/>
      <c r="O803" s="26"/>
      <c r="P803" s="24"/>
      <c r="V803" s="23"/>
      <c r="W803" s="27"/>
      <c r="X803" s="27"/>
      <c r="Y803" s="28"/>
      <c r="Z803" s="27"/>
      <c r="AA803" s="27"/>
      <c r="AB803" s="27"/>
      <c r="AC803" s="28"/>
      <c r="AD803" s="29"/>
      <c r="AE803" s="29"/>
      <c r="AF803" s="29"/>
      <c r="AG803" s="28"/>
      <c r="AH803" s="29"/>
      <c r="AI803" s="29"/>
      <c r="AJ803" s="29"/>
    </row>
    <row r="804">
      <c r="C804" s="23"/>
      <c r="L804" s="24"/>
      <c r="M804" s="25"/>
      <c r="N804" s="24"/>
      <c r="O804" s="26"/>
      <c r="P804" s="24"/>
      <c r="V804" s="23"/>
      <c r="W804" s="27"/>
      <c r="X804" s="27"/>
      <c r="Y804" s="28"/>
      <c r="Z804" s="27"/>
      <c r="AA804" s="27"/>
      <c r="AB804" s="27"/>
      <c r="AC804" s="28"/>
      <c r="AD804" s="29"/>
      <c r="AE804" s="29"/>
      <c r="AF804" s="29"/>
      <c r="AG804" s="28"/>
      <c r="AH804" s="29"/>
      <c r="AI804" s="29"/>
      <c r="AJ804" s="29"/>
    </row>
    <row r="805">
      <c r="C805" s="23"/>
      <c r="L805" s="24"/>
      <c r="M805" s="25"/>
      <c r="N805" s="24"/>
      <c r="O805" s="26"/>
      <c r="P805" s="24"/>
      <c r="V805" s="23"/>
      <c r="W805" s="27"/>
      <c r="X805" s="27"/>
      <c r="Y805" s="28"/>
      <c r="Z805" s="27"/>
      <c r="AA805" s="27"/>
      <c r="AB805" s="27"/>
      <c r="AC805" s="28"/>
      <c r="AD805" s="29"/>
      <c r="AE805" s="29"/>
      <c r="AF805" s="29"/>
      <c r="AG805" s="28"/>
      <c r="AH805" s="29"/>
      <c r="AI805" s="29"/>
      <c r="AJ805" s="29"/>
    </row>
    <row r="806">
      <c r="C806" s="23"/>
      <c r="L806" s="24"/>
      <c r="M806" s="25"/>
      <c r="N806" s="24"/>
      <c r="O806" s="26"/>
      <c r="P806" s="24"/>
      <c r="V806" s="23"/>
      <c r="W806" s="27"/>
      <c r="X806" s="27"/>
      <c r="Y806" s="28"/>
      <c r="Z806" s="27"/>
      <c r="AA806" s="27"/>
      <c r="AB806" s="27"/>
      <c r="AC806" s="28"/>
      <c r="AD806" s="29"/>
      <c r="AE806" s="29"/>
      <c r="AF806" s="29"/>
      <c r="AG806" s="28"/>
      <c r="AH806" s="29"/>
      <c r="AI806" s="29"/>
      <c r="AJ806" s="29"/>
    </row>
    <row r="807">
      <c r="C807" s="23"/>
      <c r="L807" s="24"/>
      <c r="M807" s="25"/>
      <c r="N807" s="24"/>
      <c r="O807" s="26"/>
      <c r="P807" s="24"/>
      <c r="V807" s="23"/>
      <c r="W807" s="27"/>
      <c r="X807" s="27"/>
      <c r="Y807" s="28"/>
      <c r="Z807" s="27"/>
      <c r="AA807" s="27"/>
      <c r="AB807" s="27"/>
      <c r="AC807" s="28"/>
      <c r="AD807" s="29"/>
      <c r="AE807" s="29"/>
      <c r="AF807" s="29"/>
      <c r="AG807" s="28"/>
      <c r="AH807" s="29"/>
      <c r="AI807" s="29"/>
      <c r="AJ807" s="29"/>
    </row>
    <row r="808">
      <c r="C808" s="23"/>
      <c r="L808" s="24"/>
      <c r="M808" s="25"/>
      <c r="N808" s="24"/>
      <c r="O808" s="26"/>
      <c r="P808" s="24"/>
      <c r="V808" s="23"/>
      <c r="W808" s="27"/>
      <c r="X808" s="27"/>
      <c r="Y808" s="28"/>
      <c r="Z808" s="27"/>
      <c r="AA808" s="27"/>
      <c r="AB808" s="27"/>
      <c r="AC808" s="28"/>
      <c r="AD808" s="29"/>
      <c r="AE808" s="29"/>
      <c r="AF808" s="29"/>
      <c r="AG808" s="28"/>
      <c r="AH808" s="29"/>
      <c r="AI808" s="29"/>
      <c r="AJ808" s="29"/>
    </row>
    <row r="809">
      <c r="C809" s="23"/>
      <c r="L809" s="24"/>
      <c r="M809" s="25"/>
      <c r="N809" s="24"/>
      <c r="O809" s="26"/>
      <c r="P809" s="24"/>
      <c r="V809" s="23"/>
      <c r="W809" s="27"/>
      <c r="X809" s="27"/>
      <c r="Y809" s="28"/>
      <c r="Z809" s="27"/>
      <c r="AA809" s="27"/>
      <c r="AB809" s="27"/>
      <c r="AC809" s="28"/>
      <c r="AD809" s="29"/>
      <c r="AE809" s="29"/>
      <c r="AF809" s="29"/>
      <c r="AG809" s="28"/>
      <c r="AH809" s="29"/>
      <c r="AI809" s="29"/>
      <c r="AJ809" s="29"/>
    </row>
    <row r="810">
      <c r="C810" s="23"/>
      <c r="L810" s="24"/>
      <c r="M810" s="25"/>
      <c r="N810" s="24"/>
      <c r="O810" s="26"/>
      <c r="P810" s="24"/>
      <c r="V810" s="23"/>
      <c r="W810" s="27"/>
      <c r="X810" s="27"/>
      <c r="Y810" s="28"/>
      <c r="Z810" s="27"/>
      <c r="AA810" s="27"/>
      <c r="AB810" s="27"/>
      <c r="AC810" s="28"/>
      <c r="AD810" s="29"/>
      <c r="AE810" s="29"/>
      <c r="AF810" s="29"/>
      <c r="AG810" s="28"/>
      <c r="AH810" s="29"/>
      <c r="AI810" s="29"/>
      <c r="AJ810" s="29"/>
    </row>
    <row r="811">
      <c r="C811" s="23"/>
      <c r="L811" s="24"/>
      <c r="M811" s="25"/>
      <c r="N811" s="24"/>
      <c r="O811" s="26"/>
      <c r="P811" s="24"/>
      <c r="V811" s="23"/>
      <c r="W811" s="27"/>
      <c r="X811" s="27"/>
      <c r="Y811" s="28"/>
      <c r="Z811" s="27"/>
      <c r="AA811" s="27"/>
      <c r="AB811" s="27"/>
      <c r="AC811" s="28"/>
      <c r="AD811" s="29"/>
      <c r="AE811" s="29"/>
      <c r="AF811" s="29"/>
      <c r="AG811" s="28"/>
      <c r="AH811" s="29"/>
      <c r="AI811" s="29"/>
      <c r="AJ811" s="29"/>
    </row>
    <row r="812">
      <c r="C812" s="23"/>
      <c r="L812" s="24"/>
      <c r="M812" s="25"/>
      <c r="N812" s="24"/>
      <c r="O812" s="26"/>
      <c r="P812" s="24"/>
      <c r="V812" s="23"/>
      <c r="W812" s="27"/>
      <c r="X812" s="27"/>
      <c r="Y812" s="28"/>
      <c r="Z812" s="27"/>
      <c r="AA812" s="27"/>
      <c r="AB812" s="27"/>
      <c r="AC812" s="28"/>
      <c r="AD812" s="29"/>
      <c r="AE812" s="29"/>
      <c r="AF812" s="29"/>
      <c r="AG812" s="28"/>
      <c r="AH812" s="29"/>
      <c r="AI812" s="29"/>
      <c r="AJ812" s="29"/>
    </row>
    <row r="813">
      <c r="C813" s="23"/>
      <c r="L813" s="24"/>
      <c r="M813" s="25"/>
      <c r="N813" s="24"/>
      <c r="O813" s="26"/>
      <c r="P813" s="24"/>
      <c r="V813" s="23"/>
      <c r="W813" s="27"/>
      <c r="X813" s="27"/>
      <c r="Y813" s="28"/>
      <c r="Z813" s="27"/>
      <c r="AA813" s="27"/>
      <c r="AB813" s="27"/>
      <c r="AC813" s="28"/>
      <c r="AD813" s="29"/>
      <c r="AE813" s="29"/>
      <c r="AF813" s="29"/>
      <c r="AG813" s="28"/>
      <c r="AH813" s="29"/>
      <c r="AI813" s="29"/>
      <c r="AJ813" s="29"/>
    </row>
    <row r="814">
      <c r="C814" s="23"/>
      <c r="L814" s="24"/>
      <c r="M814" s="25"/>
      <c r="N814" s="24"/>
      <c r="O814" s="26"/>
      <c r="P814" s="24"/>
      <c r="V814" s="23"/>
      <c r="W814" s="27"/>
      <c r="X814" s="27"/>
      <c r="Y814" s="28"/>
      <c r="Z814" s="27"/>
      <c r="AA814" s="27"/>
      <c r="AB814" s="27"/>
      <c r="AC814" s="28"/>
      <c r="AD814" s="29"/>
      <c r="AE814" s="29"/>
      <c r="AF814" s="29"/>
      <c r="AG814" s="28"/>
      <c r="AH814" s="29"/>
      <c r="AI814" s="29"/>
      <c r="AJ814" s="29"/>
    </row>
    <row r="815">
      <c r="C815" s="23"/>
      <c r="L815" s="24"/>
      <c r="M815" s="25"/>
      <c r="N815" s="24"/>
      <c r="O815" s="26"/>
      <c r="P815" s="24"/>
      <c r="V815" s="23"/>
      <c r="W815" s="27"/>
      <c r="X815" s="27"/>
      <c r="Y815" s="28"/>
      <c r="Z815" s="27"/>
      <c r="AA815" s="27"/>
      <c r="AB815" s="27"/>
      <c r="AC815" s="28"/>
      <c r="AD815" s="29"/>
      <c r="AE815" s="29"/>
      <c r="AF815" s="29"/>
      <c r="AG815" s="28"/>
      <c r="AH815" s="29"/>
      <c r="AI815" s="29"/>
      <c r="AJ815" s="29"/>
    </row>
    <row r="816">
      <c r="C816" s="23"/>
      <c r="L816" s="24"/>
      <c r="M816" s="25"/>
      <c r="N816" s="24"/>
      <c r="O816" s="26"/>
      <c r="P816" s="24"/>
      <c r="V816" s="23"/>
      <c r="W816" s="27"/>
      <c r="X816" s="27"/>
      <c r="Y816" s="28"/>
      <c r="Z816" s="27"/>
      <c r="AA816" s="27"/>
      <c r="AB816" s="27"/>
      <c r="AC816" s="28"/>
      <c r="AD816" s="29"/>
      <c r="AE816" s="29"/>
      <c r="AF816" s="29"/>
      <c r="AG816" s="28"/>
      <c r="AH816" s="29"/>
      <c r="AI816" s="29"/>
      <c r="AJ816" s="29"/>
    </row>
    <row r="817">
      <c r="C817" s="23"/>
      <c r="L817" s="24"/>
      <c r="M817" s="25"/>
      <c r="N817" s="24"/>
      <c r="O817" s="26"/>
      <c r="P817" s="24"/>
      <c r="V817" s="23"/>
      <c r="W817" s="27"/>
      <c r="X817" s="27"/>
      <c r="Y817" s="28"/>
      <c r="Z817" s="27"/>
      <c r="AA817" s="27"/>
      <c r="AB817" s="27"/>
      <c r="AC817" s="28"/>
      <c r="AD817" s="29"/>
      <c r="AE817" s="29"/>
      <c r="AF817" s="29"/>
      <c r="AG817" s="28"/>
      <c r="AH817" s="29"/>
      <c r="AI817" s="29"/>
      <c r="AJ817" s="29"/>
    </row>
    <row r="818">
      <c r="C818" s="23"/>
      <c r="L818" s="24"/>
      <c r="M818" s="25"/>
      <c r="N818" s="24"/>
      <c r="O818" s="26"/>
      <c r="P818" s="24"/>
      <c r="V818" s="23"/>
      <c r="W818" s="27"/>
      <c r="X818" s="27"/>
      <c r="Y818" s="28"/>
      <c r="Z818" s="27"/>
      <c r="AA818" s="27"/>
      <c r="AB818" s="27"/>
      <c r="AC818" s="28"/>
      <c r="AD818" s="29"/>
      <c r="AE818" s="29"/>
      <c r="AF818" s="29"/>
      <c r="AG818" s="28"/>
      <c r="AH818" s="29"/>
      <c r="AI818" s="29"/>
      <c r="AJ818" s="29"/>
    </row>
    <row r="819">
      <c r="C819" s="23"/>
      <c r="L819" s="24"/>
      <c r="M819" s="25"/>
      <c r="N819" s="24"/>
      <c r="O819" s="26"/>
      <c r="P819" s="24"/>
      <c r="V819" s="23"/>
      <c r="W819" s="27"/>
      <c r="X819" s="27"/>
      <c r="Y819" s="28"/>
      <c r="Z819" s="27"/>
      <c r="AA819" s="27"/>
      <c r="AB819" s="27"/>
      <c r="AC819" s="28"/>
      <c r="AD819" s="29"/>
      <c r="AE819" s="29"/>
      <c r="AF819" s="29"/>
      <c r="AG819" s="28"/>
      <c r="AH819" s="29"/>
      <c r="AI819" s="29"/>
      <c r="AJ819" s="29"/>
    </row>
    <row r="820">
      <c r="C820" s="23"/>
      <c r="L820" s="24"/>
      <c r="M820" s="25"/>
      <c r="N820" s="24"/>
      <c r="O820" s="26"/>
      <c r="P820" s="24"/>
      <c r="V820" s="23"/>
      <c r="W820" s="27"/>
      <c r="X820" s="27"/>
      <c r="Y820" s="28"/>
      <c r="Z820" s="27"/>
      <c r="AA820" s="27"/>
      <c r="AB820" s="27"/>
      <c r="AC820" s="28"/>
      <c r="AD820" s="29"/>
      <c r="AE820" s="29"/>
      <c r="AF820" s="29"/>
      <c r="AG820" s="28"/>
      <c r="AH820" s="29"/>
      <c r="AI820" s="29"/>
      <c r="AJ820" s="29"/>
    </row>
    <row r="821">
      <c r="C821" s="23"/>
      <c r="L821" s="24"/>
      <c r="M821" s="25"/>
      <c r="N821" s="24"/>
      <c r="O821" s="26"/>
      <c r="P821" s="24"/>
      <c r="V821" s="23"/>
      <c r="W821" s="27"/>
      <c r="X821" s="27"/>
      <c r="Y821" s="28"/>
      <c r="Z821" s="27"/>
      <c r="AA821" s="27"/>
      <c r="AB821" s="27"/>
      <c r="AC821" s="28"/>
      <c r="AD821" s="29"/>
      <c r="AE821" s="29"/>
      <c r="AF821" s="29"/>
      <c r="AG821" s="28"/>
      <c r="AH821" s="29"/>
      <c r="AI821" s="29"/>
      <c r="AJ821" s="29"/>
    </row>
    <row r="822">
      <c r="C822" s="23"/>
      <c r="L822" s="24"/>
      <c r="M822" s="25"/>
      <c r="N822" s="24"/>
      <c r="O822" s="26"/>
      <c r="P822" s="24"/>
      <c r="V822" s="23"/>
      <c r="W822" s="27"/>
      <c r="X822" s="27"/>
      <c r="Y822" s="28"/>
      <c r="Z822" s="27"/>
      <c r="AA822" s="27"/>
      <c r="AB822" s="27"/>
      <c r="AC822" s="28"/>
      <c r="AD822" s="29"/>
      <c r="AE822" s="29"/>
      <c r="AF822" s="29"/>
      <c r="AG822" s="28"/>
      <c r="AH822" s="29"/>
      <c r="AI822" s="29"/>
      <c r="AJ822" s="29"/>
    </row>
    <row r="823">
      <c r="C823" s="23"/>
      <c r="L823" s="24"/>
      <c r="M823" s="25"/>
      <c r="N823" s="24"/>
      <c r="O823" s="26"/>
      <c r="P823" s="24"/>
      <c r="V823" s="23"/>
      <c r="W823" s="27"/>
      <c r="X823" s="27"/>
      <c r="Y823" s="28"/>
      <c r="Z823" s="27"/>
      <c r="AA823" s="27"/>
      <c r="AB823" s="27"/>
      <c r="AC823" s="28"/>
      <c r="AD823" s="29"/>
      <c r="AE823" s="29"/>
      <c r="AF823" s="29"/>
      <c r="AG823" s="28"/>
      <c r="AH823" s="29"/>
      <c r="AI823" s="29"/>
      <c r="AJ823" s="29"/>
    </row>
    <row r="824">
      <c r="C824" s="23"/>
      <c r="L824" s="24"/>
      <c r="M824" s="25"/>
      <c r="N824" s="24"/>
      <c r="O824" s="26"/>
      <c r="P824" s="24"/>
      <c r="V824" s="23"/>
      <c r="W824" s="27"/>
      <c r="X824" s="27"/>
      <c r="Y824" s="28"/>
      <c r="Z824" s="27"/>
      <c r="AA824" s="27"/>
      <c r="AB824" s="27"/>
      <c r="AC824" s="28"/>
      <c r="AD824" s="29"/>
      <c r="AE824" s="29"/>
      <c r="AF824" s="29"/>
      <c r="AG824" s="28"/>
      <c r="AH824" s="29"/>
      <c r="AI824" s="29"/>
      <c r="AJ824" s="29"/>
    </row>
    <row r="825">
      <c r="C825" s="23"/>
      <c r="L825" s="24"/>
      <c r="M825" s="25"/>
      <c r="N825" s="24"/>
      <c r="O825" s="26"/>
      <c r="P825" s="24"/>
      <c r="V825" s="23"/>
      <c r="W825" s="27"/>
      <c r="X825" s="27"/>
      <c r="Y825" s="28"/>
      <c r="Z825" s="27"/>
      <c r="AA825" s="27"/>
      <c r="AB825" s="27"/>
      <c r="AC825" s="28"/>
      <c r="AD825" s="29"/>
      <c r="AE825" s="29"/>
      <c r="AF825" s="29"/>
      <c r="AG825" s="28"/>
      <c r="AH825" s="29"/>
      <c r="AI825" s="29"/>
      <c r="AJ825" s="29"/>
    </row>
    <row r="826">
      <c r="C826" s="23"/>
      <c r="L826" s="24"/>
      <c r="M826" s="25"/>
      <c r="N826" s="24"/>
      <c r="O826" s="26"/>
      <c r="P826" s="24"/>
      <c r="V826" s="23"/>
      <c r="W826" s="27"/>
      <c r="X826" s="27"/>
      <c r="Y826" s="28"/>
      <c r="Z826" s="27"/>
      <c r="AA826" s="27"/>
      <c r="AB826" s="27"/>
      <c r="AC826" s="28"/>
      <c r="AD826" s="29"/>
      <c r="AE826" s="29"/>
      <c r="AF826" s="29"/>
      <c r="AG826" s="28"/>
      <c r="AH826" s="29"/>
      <c r="AI826" s="29"/>
      <c r="AJ826" s="29"/>
    </row>
    <row r="827">
      <c r="C827" s="23"/>
      <c r="L827" s="24"/>
      <c r="M827" s="25"/>
      <c r="N827" s="24"/>
      <c r="O827" s="26"/>
      <c r="P827" s="24"/>
      <c r="V827" s="23"/>
      <c r="W827" s="27"/>
      <c r="X827" s="27"/>
      <c r="Y827" s="28"/>
      <c r="Z827" s="27"/>
      <c r="AA827" s="27"/>
      <c r="AB827" s="27"/>
      <c r="AC827" s="28"/>
      <c r="AD827" s="29"/>
      <c r="AE827" s="29"/>
      <c r="AF827" s="29"/>
      <c r="AG827" s="28"/>
      <c r="AH827" s="29"/>
      <c r="AI827" s="29"/>
      <c r="AJ827" s="29"/>
    </row>
    <row r="828">
      <c r="C828" s="23"/>
      <c r="L828" s="24"/>
      <c r="M828" s="25"/>
      <c r="N828" s="24"/>
      <c r="O828" s="26"/>
      <c r="P828" s="24"/>
      <c r="V828" s="23"/>
      <c r="W828" s="27"/>
      <c r="X828" s="27"/>
      <c r="Y828" s="28"/>
      <c r="Z828" s="27"/>
      <c r="AA828" s="27"/>
      <c r="AB828" s="27"/>
      <c r="AC828" s="28"/>
      <c r="AD828" s="29"/>
      <c r="AE828" s="29"/>
      <c r="AF828" s="29"/>
      <c r="AG828" s="28"/>
      <c r="AH828" s="29"/>
      <c r="AI828" s="29"/>
      <c r="AJ828" s="29"/>
    </row>
    <row r="829">
      <c r="C829" s="23"/>
      <c r="L829" s="24"/>
      <c r="M829" s="25"/>
      <c r="N829" s="24"/>
      <c r="O829" s="26"/>
      <c r="P829" s="24"/>
      <c r="V829" s="23"/>
      <c r="W829" s="27"/>
      <c r="X829" s="27"/>
      <c r="Y829" s="28"/>
      <c r="Z829" s="27"/>
      <c r="AA829" s="27"/>
      <c r="AB829" s="27"/>
      <c r="AC829" s="28"/>
      <c r="AD829" s="29"/>
      <c r="AE829" s="29"/>
      <c r="AF829" s="29"/>
      <c r="AG829" s="28"/>
      <c r="AH829" s="29"/>
      <c r="AI829" s="29"/>
      <c r="AJ829" s="29"/>
    </row>
    <row r="830">
      <c r="C830" s="23"/>
      <c r="L830" s="24"/>
      <c r="M830" s="25"/>
      <c r="N830" s="24"/>
      <c r="O830" s="26"/>
      <c r="P830" s="24"/>
      <c r="V830" s="23"/>
      <c r="W830" s="27"/>
      <c r="X830" s="27"/>
      <c r="Y830" s="28"/>
      <c r="Z830" s="27"/>
      <c r="AA830" s="27"/>
      <c r="AB830" s="27"/>
      <c r="AC830" s="28"/>
      <c r="AD830" s="29"/>
      <c r="AE830" s="29"/>
      <c r="AF830" s="29"/>
      <c r="AG830" s="28"/>
      <c r="AH830" s="29"/>
      <c r="AI830" s="29"/>
      <c r="AJ830" s="29"/>
    </row>
    <row r="831">
      <c r="C831" s="23"/>
      <c r="L831" s="24"/>
      <c r="M831" s="25"/>
      <c r="N831" s="24"/>
      <c r="O831" s="26"/>
      <c r="P831" s="24"/>
      <c r="V831" s="23"/>
      <c r="W831" s="27"/>
      <c r="X831" s="27"/>
      <c r="Y831" s="28"/>
      <c r="Z831" s="27"/>
      <c r="AA831" s="27"/>
      <c r="AB831" s="27"/>
      <c r="AC831" s="28"/>
      <c r="AD831" s="29"/>
      <c r="AE831" s="29"/>
      <c r="AF831" s="29"/>
      <c r="AG831" s="28"/>
      <c r="AH831" s="29"/>
      <c r="AI831" s="29"/>
      <c r="AJ831" s="29"/>
    </row>
    <row r="832">
      <c r="C832" s="23"/>
      <c r="L832" s="24"/>
      <c r="M832" s="25"/>
      <c r="N832" s="24"/>
      <c r="O832" s="26"/>
      <c r="P832" s="24"/>
      <c r="V832" s="23"/>
      <c r="W832" s="27"/>
      <c r="X832" s="27"/>
      <c r="Y832" s="28"/>
      <c r="Z832" s="27"/>
      <c r="AA832" s="27"/>
      <c r="AB832" s="27"/>
      <c r="AC832" s="28"/>
      <c r="AD832" s="29"/>
      <c r="AE832" s="29"/>
      <c r="AF832" s="29"/>
      <c r="AG832" s="28"/>
      <c r="AH832" s="29"/>
      <c r="AI832" s="29"/>
      <c r="AJ832" s="29"/>
    </row>
    <row r="833">
      <c r="C833" s="23"/>
      <c r="L833" s="24"/>
      <c r="M833" s="25"/>
      <c r="N833" s="24"/>
      <c r="O833" s="26"/>
      <c r="P833" s="24"/>
      <c r="V833" s="23"/>
      <c r="W833" s="27"/>
      <c r="X833" s="27"/>
      <c r="Y833" s="28"/>
      <c r="Z833" s="27"/>
      <c r="AA833" s="27"/>
      <c r="AB833" s="27"/>
      <c r="AC833" s="28"/>
      <c r="AD833" s="29"/>
      <c r="AE833" s="29"/>
      <c r="AF833" s="29"/>
      <c r="AG833" s="28"/>
      <c r="AH833" s="29"/>
      <c r="AI833" s="29"/>
      <c r="AJ833" s="29"/>
    </row>
    <row r="834">
      <c r="C834" s="23"/>
      <c r="L834" s="24"/>
      <c r="M834" s="25"/>
      <c r="N834" s="24"/>
      <c r="O834" s="26"/>
      <c r="P834" s="24"/>
      <c r="V834" s="23"/>
      <c r="W834" s="27"/>
      <c r="X834" s="27"/>
      <c r="Y834" s="28"/>
      <c r="Z834" s="27"/>
      <c r="AA834" s="27"/>
      <c r="AB834" s="27"/>
      <c r="AC834" s="28"/>
      <c r="AD834" s="29"/>
      <c r="AE834" s="29"/>
      <c r="AF834" s="29"/>
      <c r="AG834" s="28"/>
      <c r="AH834" s="29"/>
      <c r="AI834" s="29"/>
      <c r="AJ834" s="29"/>
    </row>
    <row r="835">
      <c r="C835" s="23"/>
      <c r="L835" s="24"/>
      <c r="M835" s="25"/>
      <c r="N835" s="24"/>
      <c r="O835" s="26"/>
      <c r="P835" s="24"/>
      <c r="V835" s="23"/>
      <c r="W835" s="27"/>
      <c r="X835" s="27"/>
      <c r="Y835" s="28"/>
      <c r="Z835" s="27"/>
      <c r="AA835" s="27"/>
      <c r="AB835" s="27"/>
      <c r="AC835" s="28"/>
      <c r="AD835" s="29"/>
      <c r="AE835" s="29"/>
      <c r="AF835" s="29"/>
      <c r="AG835" s="28"/>
      <c r="AH835" s="29"/>
      <c r="AI835" s="29"/>
      <c r="AJ835" s="29"/>
    </row>
    <row r="836">
      <c r="C836" s="23"/>
      <c r="L836" s="24"/>
      <c r="M836" s="25"/>
      <c r="N836" s="24"/>
      <c r="O836" s="26"/>
      <c r="P836" s="24"/>
      <c r="V836" s="23"/>
      <c r="W836" s="27"/>
      <c r="X836" s="27"/>
      <c r="Y836" s="28"/>
      <c r="Z836" s="27"/>
      <c r="AA836" s="27"/>
      <c r="AB836" s="27"/>
      <c r="AC836" s="28"/>
      <c r="AD836" s="29"/>
      <c r="AE836" s="29"/>
      <c r="AF836" s="29"/>
      <c r="AG836" s="28"/>
      <c r="AH836" s="29"/>
      <c r="AI836" s="29"/>
      <c r="AJ836" s="29"/>
    </row>
    <row r="837">
      <c r="C837" s="23"/>
      <c r="L837" s="24"/>
      <c r="M837" s="25"/>
      <c r="N837" s="24"/>
      <c r="O837" s="26"/>
      <c r="P837" s="24"/>
      <c r="V837" s="23"/>
      <c r="W837" s="27"/>
      <c r="X837" s="27"/>
      <c r="Y837" s="28"/>
      <c r="Z837" s="27"/>
      <c r="AA837" s="27"/>
      <c r="AB837" s="27"/>
      <c r="AC837" s="28"/>
      <c r="AD837" s="29"/>
      <c r="AE837" s="29"/>
      <c r="AF837" s="29"/>
      <c r="AG837" s="28"/>
      <c r="AH837" s="29"/>
      <c r="AI837" s="29"/>
      <c r="AJ837" s="29"/>
    </row>
    <row r="838">
      <c r="C838" s="23"/>
      <c r="L838" s="24"/>
      <c r="M838" s="25"/>
      <c r="N838" s="24"/>
      <c r="O838" s="26"/>
      <c r="P838" s="24"/>
      <c r="V838" s="23"/>
      <c r="W838" s="27"/>
      <c r="X838" s="27"/>
      <c r="Y838" s="28"/>
      <c r="Z838" s="27"/>
      <c r="AA838" s="27"/>
      <c r="AB838" s="27"/>
      <c r="AC838" s="28"/>
      <c r="AD838" s="29"/>
      <c r="AE838" s="29"/>
      <c r="AF838" s="29"/>
      <c r="AG838" s="28"/>
      <c r="AH838" s="29"/>
      <c r="AI838" s="29"/>
      <c r="AJ838" s="29"/>
    </row>
    <row r="839">
      <c r="C839" s="23"/>
      <c r="L839" s="24"/>
      <c r="M839" s="25"/>
      <c r="N839" s="24"/>
      <c r="O839" s="26"/>
      <c r="P839" s="24"/>
      <c r="V839" s="23"/>
      <c r="W839" s="27"/>
      <c r="X839" s="27"/>
      <c r="Y839" s="28"/>
      <c r="Z839" s="27"/>
      <c r="AA839" s="27"/>
      <c r="AB839" s="27"/>
      <c r="AC839" s="28"/>
      <c r="AD839" s="29"/>
      <c r="AE839" s="29"/>
      <c r="AF839" s="29"/>
      <c r="AG839" s="28"/>
      <c r="AH839" s="29"/>
      <c r="AI839" s="29"/>
      <c r="AJ839" s="29"/>
    </row>
    <row r="840">
      <c r="C840" s="23"/>
      <c r="L840" s="24"/>
      <c r="M840" s="25"/>
      <c r="N840" s="24"/>
      <c r="O840" s="26"/>
      <c r="P840" s="24"/>
      <c r="V840" s="23"/>
      <c r="W840" s="27"/>
      <c r="X840" s="27"/>
      <c r="Y840" s="28"/>
      <c r="Z840" s="27"/>
      <c r="AA840" s="27"/>
      <c r="AB840" s="27"/>
      <c r="AC840" s="28"/>
      <c r="AD840" s="29"/>
      <c r="AE840" s="29"/>
      <c r="AF840" s="29"/>
      <c r="AG840" s="28"/>
      <c r="AH840" s="29"/>
      <c r="AI840" s="29"/>
      <c r="AJ840" s="29"/>
    </row>
    <row r="841">
      <c r="C841" s="23"/>
      <c r="L841" s="24"/>
      <c r="M841" s="25"/>
      <c r="N841" s="24"/>
      <c r="O841" s="26"/>
      <c r="P841" s="24"/>
      <c r="V841" s="23"/>
      <c r="W841" s="27"/>
      <c r="X841" s="27"/>
      <c r="Y841" s="28"/>
      <c r="Z841" s="27"/>
      <c r="AA841" s="27"/>
      <c r="AB841" s="27"/>
      <c r="AC841" s="28"/>
      <c r="AD841" s="29"/>
      <c r="AE841" s="29"/>
      <c r="AF841" s="29"/>
      <c r="AG841" s="28"/>
      <c r="AH841" s="29"/>
      <c r="AI841" s="29"/>
      <c r="AJ841" s="29"/>
    </row>
    <row r="842">
      <c r="C842" s="23"/>
      <c r="L842" s="24"/>
      <c r="M842" s="25"/>
      <c r="N842" s="24"/>
      <c r="O842" s="26"/>
      <c r="P842" s="24"/>
      <c r="V842" s="23"/>
      <c r="W842" s="27"/>
      <c r="X842" s="27"/>
      <c r="Y842" s="28"/>
      <c r="Z842" s="27"/>
      <c r="AA842" s="27"/>
      <c r="AB842" s="27"/>
      <c r="AC842" s="28"/>
      <c r="AD842" s="29"/>
      <c r="AE842" s="29"/>
      <c r="AF842" s="29"/>
      <c r="AG842" s="28"/>
      <c r="AH842" s="29"/>
      <c r="AI842" s="29"/>
      <c r="AJ842" s="29"/>
    </row>
    <row r="843">
      <c r="C843" s="23"/>
      <c r="L843" s="24"/>
      <c r="M843" s="25"/>
      <c r="N843" s="24"/>
      <c r="O843" s="26"/>
      <c r="P843" s="24"/>
      <c r="V843" s="23"/>
      <c r="W843" s="27"/>
      <c r="X843" s="27"/>
      <c r="Y843" s="28"/>
      <c r="Z843" s="27"/>
      <c r="AA843" s="27"/>
      <c r="AB843" s="27"/>
      <c r="AC843" s="28"/>
      <c r="AD843" s="29"/>
      <c r="AE843" s="29"/>
      <c r="AF843" s="29"/>
      <c r="AG843" s="28"/>
      <c r="AH843" s="29"/>
      <c r="AI843" s="29"/>
      <c r="AJ843" s="29"/>
    </row>
    <row r="844">
      <c r="C844" s="23"/>
      <c r="L844" s="24"/>
      <c r="M844" s="25"/>
      <c r="N844" s="24"/>
      <c r="O844" s="26"/>
      <c r="P844" s="24"/>
      <c r="V844" s="23"/>
      <c r="W844" s="27"/>
      <c r="X844" s="27"/>
      <c r="Y844" s="28"/>
      <c r="Z844" s="27"/>
      <c r="AA844" s="27"/>
      <c r="AB844" s="27"/>
      <c r="AC844" s="28"/>
      <c r="AD844" s="29"/>
      <c r="AE844" s="29"/>
      <c r="AF844" s="29"/>
      <c r="AG844" s="28"/>
      <c r="AH844" s="29"/>
      <c r="AI844" s="29"/>
      <c r="AJ844" s="29"/>
    </row>
    <row r="845">
      <c r="C845" s="23"/>
      <c r="L845" s="24"/>
      <c r="M845" s="25"/>
      <c r="N845" s="24"/>
      <c r="O845" s="26"/>
      <c r="P845" s="24"/>
      <c r="V845" s="23"/>
      <c r="W845" s="27"/>
      <c r="X845" s="27"/>
      <c r="Y845" s="28"/>
      <c r="Z845" s="27"/>
      <c r="AA845" s="27"/>
      <c r="AB845" s="27"/>
      <c r="AC845" s="28"/>
      <c r="AD845" s="29"/>
      <c r="AE845" s="29"/>
      <c r="AF845" s="29"/>
      <c r="AG845" s="28"/>
      <c r="AH845" s="29"/>
      <c r="AI845" s="29"/>
      <c r="AJ845" s="29"/>
    </row>
    <row r="846">
      <c r="C846" s="23"/>
      <c r="L846" s="24"/>
      <c r="M846" s="25"/>
      <c r="N846" s="24"/>
      <c r="O846" s="26"/>
      <c r="P846" s="24"/>
      <c r="V846" s="23"/>
      <c r="W846" s="27"/>
      <c r="X846" s="27"/>
      <c r="Y846" s="28"/>
      <c r="Z846" s="27"/>
      <c r="AA846" s="27"/>
      <c r="AB846" s="27"/>
      <c r="AC846" s="28"/>
      <c r="AD846" s="29"/>
      <c r="AE846" s="29"/>
      <c r="AF846" s="29"/>
      <c r="AG846" s="28"/>
      <c r="AH846" s="29"/>
      <c r="AI846" s="29"/>
      <c r="AJ846" s="29"/>
    </row>
    <row r="847">
      <c r="C847" s="23"/>
      <c r="L847" s="24"/>
      <c r="M847" s="25"/>
      <c r="N847" s="24"/>
      <c r="O847" s="26"/>
      <c r="P847" s="24"/>
      <c r="V847" s="23"/>
      <c r="W847" s="27"/>
      <c r="X847" s="27"/>
      <c r="Y847" s="28"/>
      <c r="Z847" s="27"/>
      <c r="AA847" s="27"/>
      <c r="AB847" s="27"/>
      <c r="AC847" s="28"/>
      <c r="AD847" s="29"/>
      <c r="AE847" s="29"/>
      <c r="AF847" s="29"/>
      <c r="AG847" s="28"/>
      <c r="AH847" s="29"/>
      <c r="AI847" s="29"/>
      <c r="AJ847" s="29"/>
    </row>
    <row r="848">
      <c r="C848" s="23"/>
      <c r="L848" s="24"/>
      <c r="M848" s="25"/>
      <c r="N848" s="24"/>
      <c r="O848" s="26"/>
      <c r="P848" s="24"/>
      <c r="V848" s="23"/>
      <c r="W848" s="27"/>
      <c r="X848" s="27"/>
      <c r="Y848" s="28"/>
      <c r="Z848" s="27"/>
      <c r="AA848" s="27"/>
      <c r="AB848" s="27"/>
      <c r="AC848" s="28"/>
      <c r="AD848" s="29"/>
      <c r="AE848" s="29"/>
      <c r="AF848" s="29"/>
      <c r="AG848" s="28"/>
      <c r="AH848" s="29"/>
      <c r="AI848" s="29"/>
      <c r="AJ848" s="29"/>
    </row>
    <row r="849">
      <c r="C849" s="23"/>
      <c r="L849" s="24"/>
      <c r="M849" s="25"/>
      <c r="N849" s="24"/>
      <c r="O849" s="26"/>
      <c r="P849" s="24"/>
      <c r="V849" s="23"/>
      <c r="W849" s="27"/>
      <c r="X849" s="27"/>
      <c r="Y849" s="28"/>
      <c r="Z849" s="27"/>
      <c r="AA849" s="27"/>
      <c r="AB849" s="27"/>
      <c r="AC849" s="28"/>
      <c r="AD849" s="29"/>
      <c r="AE849" s="29"/>
      <c r="AF849" s="29"/>
      <c r="AG849" s="28"/>
      <c r="AH849" s="29"/>
      <c r="AI849" s="29"/>
      <c r="AJ849" s="29"/>
    </row>
    <row r="850">
      <c r="C850" s="23"/>
      <c r="L850" s="24"/>
      <c r="M850" s="25"/>
      <c r="N850" s="24"/>
      <c r="O850" s="26"/>
      <c r="P850" s="24"/>
      <c r="V850" s="23"/>
      <c r="W850" s="27"/>
      <c r="X850" s="27"/>
      <c r="Y850" s="28"/>
      <c r="Z850" s="27"/>
      <c r="AA850" s="27"/>
      <c r="AB850" s="27"/>
      <c r="AC850" s="28"/>
      <c r="AD850" s="29"/>
      <c r="AE850" s="29"/>
      <c r="AF850" s="29"/>
      <c r="AG850" s="28"/>
      <c r="AH850" s="29"/>
      <c r="AI850" s="29"/>
      <c r="AJ850" s="29"/>
    </row>
    <row r="851">
      <c r="C851" s="23"/>
      <c r="L851" s="24"/>
      <c r="M851" s="25"/>
      <c r="N851" s="24"/>
      <c r="O851" s="26"/>
      <c r="P851" s="24"/>
      <c r="V851" s="23"/>
      <c r="W851" s="27"/>
      <c r="X851" s="27"/>
      <c r="Y851" s="28"/>
      <c r="Z851" s="27"/>
      <c r="AA851" s="27"/>
      <c r="AB851" s="27"/>
      <c r="AC851" s="28"/>
      <c r="AD851" s="29"/>
      <c r="AE851" s="29"/>
      <c r="AF851" s="29"/>
      <c r="AG851" s="28"/>
      <c r="AH851" s="29"/>
      <c r="AI851" s="29"/>
      <c r="AJ851" s="29"/>
    </row>
    <row r="852">
      <c r="C852" s="23"/>
      <c r="L852" s="24"/>
      <c r="M852" s="25"/>
      <c r="N852" s="24"/>
      <c r="O852" s="26"/>
      <c r="P852" s="24"/>
      <c r="V852" s="23"/>
      <c r="W852" s="27"/>
      <c r="X852" s="27"/>
      <c r="Y852" s="28"/>
      <c r="Z852" s="27"/>
      <c r="AA852" s="27"/>
      <c r="AB852" s="27"/>
      <c r="AC852" s="28"/>
      <c r="AD852" s="29"/>
      <c r="AE852" s="29"/>
      <c r="AF852" s="29"/>
      <c r="AG852" s="28"/>
      <c r="AH852" s="29"/>
      <c r="AI852" s="29"/>
      <c r="AJ852" s="29"/>
    </row>
    <row r="853">
      <c r="C853" s="23"/>
      <c r="L853" s="24"/>
      <c r="M853" s="25"/>
      <c r="N853" s="24"/>
      <c r="O853" s="26"/>
      <c r="P853" s="24"/>
      <c r="V853" s="23"/>
      <c r="W853" s="27"/>
      <c r="X853" s="27"/>
      <c r="Y853" s="28"/>
      <c r="Z853" s="27"/>
      <c r="AA853" s="27"/>
      <c r="AB853" s="27"/>
      <c r="AC853" s="28"/>
      <c r="AD853" s="29"/>
      <c r="AE853" s="29"/>
      <c r="AF853" s="29"/>
      <c r="AG853" s="28"/>
      <c r="AH853" s="29"/>
      <c r="AI853" s="29"/>
      <c r="AJ853" s="29"/>
    </row>
    <row r="854">
      <c r="C854" s="23"/>
      <c r="L854" s="24"/>
      <c r="M854" s="25"/>
      <c r="N854" s="24"/>
      <c r="O854" s="26"/>
      <c r="P854" s="24"/>
      <c r="V854" s="23"/>
      <c r="W854" s="27"/>
      <c r="X854" s="27"/>
      <c r="Y854" s="28"/>
      <c r="Z854" s="27"/>
      <c r="AA854" s="27"/>
      <c r="AB854" s="27"/>
      <c r="AC854" s="28"/>
      <c r="AD854" s="29"/>
      <c r="AE854" s="29"/>
      <c r="AF854" s="29"/>
      <c r="AG854" s="28"/>
      <c r="AH854" s="29"/>
      <c r="AI854" s="29"/>
      <c r="AJ854" s="29"/>
    </row>
    <row r="855">
      <c r="C855" s="23"/>
      <c r="L855" s="24"/>
      <c r="M855" s="25"/>
      <c r="N855" s="24"/>
      <c r="O855" s="26"/>
      <c r="P855" s="24"/>
      <c r="V855" s="23"/>
      <c r="W855" s="27"/>
      <c r="X855" s="27"/>
      <c r="Y855" s="28"/>
      <c r="Z855" s="27"/>
      <c r="AA855" s="27"/>
      <c r="AB855" s="27"/>
      <c r="AC855" s="28"/>
      <c r="AD855" s="29"/>
      <c r="AE855" s="29"/>
      <c r="AF855" s="29"/>
      <c r="AG855" s="28"/>
      <c r="AH855" s="29"/>
      <c r="AI855" s="29"/>
      <c r="AJ855" s="29"/>
    </row>
    <row r="856">
      <c r="C856" s="23"/>
      <c r="L856" s="24"/>
      <c r="M856" s="25"/>
      <c r="N856" s="24"/>
      <c r="O856" s="26"/>
      <c r="P856" s="24"/>
      <c r="V856" s="23"/>
      <c r="W856" s="27"/>
      <c r="X856" s="27"/>
      <c r="Y856" s="28"/>
      <c r="Z856" s="27"/>
      <c r="AA856" s="27"/>
      <c r="AB856" s="27"/>
      <c r="AC856" s="28"/>
      <c r="AD856" s="29"/>
      <c r="AE856" s="29"/>
      <c r="AF856" s="29"/>
      <c r="AG856" s="28"/>
      <c r="AH856" s="29"/>
      <c r="AI856" s="29"/>
      <c r="AJ856" s="29"/>
    </row>
    <row r="857">
      <c r="C857" s="23"/>
      <c r="L857" s="24"/>
      <c r="M857" s="25"/>
      <c r="N857" s="24"/>
      <c r="O857" s="26"/>
      <c r="P857" s="24"/>
      <c r="V857" s="23"/>
      <c r="W857" s="27"/>
      <c r="X857" s="27"/>
      <c r="Y857" s="28"/>
      <c r="Z857" s="27"/>
      <c r="AA857" s="27"/>
      <c r="AB857" s="27"/>
      <c r="AC857" s="28"/>
      <c r="AD857" s="29"/>
      <c r="AE857" s="29"/>
      <c r="AF857" s="29"/>
      <c r="AG857" s="28"/>
      <c r="AH857" s="29"/>
      <c r="AI857" s="29"/>
      <c r="AJ857" s="29"/>
    </row>
    <row r="858">
      <c r="C858" s="23"/>
      <c r="L858" s="24"/>
      <c r="M858" s="25"/>
      <c r="N858" s="24"/>
      <c r="O858" s="26"/>
      <c r="P858" s="24"/>
      <c r="V858" s="23"/>
      <c r="W858" s="27"/>
      <c r="X858" s="27"/>
      <c r="Y858" s="28"/>
      <c r="Z858" s="27"/>
      <c r="AA858" s="27"/>
      <c r="AB858" s="27"/>
      <c r="AC858" s="28"/>
      <c r="AD858" s="29"/>
      <c r="AE858" s="29"/>
      <c r="AF858" s="29"/>
      <c r="AG858" s="28"/>
      <c r="AH858" s="29"/>
      <c r="AI858" s="29"/>
      <c r="AJ858" s="29"/>
    </row>
    <row r="859">
      <c r="C859" s="23"/>
      <c r="L859" s="24"/>
      <c r="M859" s="25"/>
      <c r="N859" s="24"/>
      <c r="O859" s="26"/>
      <c r="P859" s="24"/>
      <c r="V859" s="23"/>
      <c r="W859" s="27"/>
      <c r="X859" s="27"/>
      <c r="Y859" s="28"/>
      <c r="Z859" s="27"/>
      <c r="AA859" s="27"/>
      <c r="AB859" s="27"/>
      <c r="AC859" s="28"/>
      <c r="AD859" s="29"/>
      <c r="AE859" s="29"/>
      <c r="AF859" s="29"/>
      <c r="AG859" s="28"/>
      <c r="AH859" s="29"/>
      <c r="AI859" s="29"/>
      <c r="AJ859" s="29"/>
    </row>
    <row r="860">
      <c r="C860" s="23"/>
      <c r="L860" s="24"/>
      <c r="M860" s="25"/>
      <c r="N860" s="24"/>
      <c r="O860" s="26"/>
      <c r="P860" s="24"/>
      <c r="V860" s="23"/>
      <c r="W860" s="27"/>
      <c r="X860" s="27"/>
      <c r="Y860" s="28"/>
      <c r="Z860" s="27"/>
      <c r="AA860" s="27"/>
      <c r="AB860" s="27"/>
      <c r="AC860" s="28"/>
      <c r="AD860" s="29"/>
      <c r="AE860" s="29"/>
      <c r="AF860" s="29"/>
      <c r="AG860" s="28"/>
      <c r="AH860" s="29"/>
      <c r="AI860" s="29"/>
      <c r="AJ860" s="29"/>
    </row>
    <row r="861">
      <c r="C861" s="23"/>
      <c r="L861" s="24"/>
      <c r="M861" s="25"/>
      <c r="N861" s="24"/>
      <c r="O861" s="26"/>
      <c r="P861" s="24"/>
      <c r="V861" s="23"/>
      <c r="W861" s="27"/>
      <c r="X861" s="27"/>
      <c r="Y861" s="28"/>
      <c r="Z861" s="27"/>
      <c r="AA861" s="27"/>
      <c r="AB861" s="27"/>
      <c r="AC861" s="28"/>
      <c r="AD861" s="29"/>
      <c r="AE861" s="29"/>
      <c r="AF861" s="29"/>
      <c r="AG861" s="28"/>
      <c r="AH861" s="29"/>
      <c r="AI861" s="29"/>
      <c r="AJ861" s="29"/>
    </row>
    <row r="862">
      <c r="C862" s="23"/>
      <c r="L862" s="24"/>
      <c r="M862" s="25"/>
      <c r="N862" s="24"/>
      <c r="O862" s="26"/>
      <c r="P862" s="24"/>
      <c r="V862" s="23"/>
      <c r="W862" s="27"/>
      <c r="X862" s="27"/>
      <c r="Y862" s="28"/>
      <c r="Z862" s="27"/>
      <c r="AA862" s="27"/>
      <c r="AB862" s="27"/>
      <c r="AC862" s="28"/>
      <c r="AD862" s="29"/>
      <c r="AE862" s="29"/>
      <c r="AF862" s="29"/>
      <c r="AG862" s="28"/>
      <c r="AH862" s="29"/>
      <c r="AI862" s="29"/>
      <c r="AJ862" s="29"/>
    </row>
    <row r="863">
      <c r="C863" s="23"/>
      <c r="L863" s="24"/>
      <c r="M863" s="25"/>
      <c r="N863" s="24"/>
      <c r="O863" s="26"/>
      <c r="P863" s="24"/>
      <c r="V863" s="23"/>
      <c r="W863" s="27"/>
      <c r="X863" s="27"/>
      <c r="Y863" s="28"/>
      <c r="Z863" s="27"/>
      <c r="AA863" s="27"/>
      <c r="AB863" s="27"/>
      <c r="AC863" s="28"/>
      <c r="AD863" s="29"/>
      <c r="AE863" s="29"/>
      <c r="AF863" s="29"/>
      <c r="AG863" s="28"/>
      <c r="AH863" s="29"/>
      <c r="AI863" s="29"/>
      <c r="AJ863" s="29"/>
    </row>
    <row r="864">
      <c r="C864" s="23"/>
      <c r="L864" s="24"/>
      <c r="M864" s="25"/>
      <c r="N864" s="24"/>
      <c r="O864" s="26"/>
      <c r="P864" s="24"/>
      <c r="V864" s="23"/>
      <c r="W864" s="27"/>
      <c r="X864" s="27"/>
      <c r="Y864" s="28"/>
      <c r="Z864" s="27"/>
      <c r="AA864" s="27"/>
      <c r="AB864" s="27"/>
      <c r="AC864" s="28"/>
      <c r="AD864" s="29"/>
      <c r="AE864" s="29"/>
      <c r="AF864" s="29"/>
      <c r="AG864" s="28"/>
      <c r="AH864" s="29"/>
      <c r="AI864" s="29"/>
      <c r="AJ864" s="29"/>
    </row>
    <row r="865">
      <c r="C865" s="23"/>
      <c r="L865" s="24"/>
      <c r="M865" s="25"/>
      <c r="N865" s="24"/>
      <c r="O865" s="26"/>
      <c r="P865" s="24"/>
      <c r="V865" s="23"/>
      <c r="W865" s="27"/>
      <c r="X865" s="27"/>
      <c r="Y865" s="28"/>
      <c r="Z865" s="27"/>
      <c r="AA865" s="27"/>
      <c r="AB865" s="27"/>
      <c r="AC865" s="28"/>
      <c r="AD865" s="29"/>
      <c r="AE865" s="29"/>
      <c r="AF865" s="29"/>
      <c r="AG865" s="28"/>
      <c r="AH865" s="29"/>
      <c r="AI865" s="29"/>
      <c r="AJ865" s="29"/>
    </row>
    <row r="866">
      <c r="C866" s="23"/>
      <c r="L866" s="24"/>
      <c r="M866" s="25"/>
      <c r="N866" s="24"/>
      <c r="O866" s="26"/>
      <c r="P866" s="24"/>
      <c r="V866" s="23"/>
      <c r="W866" s="27"/>
      <c r="X866" s="27"/>
      <c r="Y866" s="28"/>
      <c r="Z866" s="27"/>
      <c r="AA866" s="27"/>
      <c r="AB866" s="27"/>
      <c r="AC866" s="28"/>
      <c r="AD866" s="29"/>
      <c r="AE866" s="29"/>
      <c r="AF866" s="29"/>
      <c r="AG866" s="28"/>
      <c r="AH866" s="29"/>
      <c r="AI866" s="29"/>
      <c r="AJ866" s="29"/>
    </row>
    <row r="867">
      <c r="C867" s="23"/>
      <c r="L867" s="24"/>
      <c r="M867" s="25"/>
      <c r="N867" s="24"/>
      <c r="O867" s="26"/>
      <c r="P867" s="24"/>
      <c r="V867" s="23"/>
      <c r="W867" s="27"/>
      <c r="X867" s="27"/>
      <c r="Y867" s="28"/>
      <c r="Z867" s="27"/>
      <c r="AA867" s="27"/>
      <c r="AB867" s="27"/>
      <c r="AC867" s="28"/>
      <c r="AD867" s="29"/>
      <c r="AE867" s="29"/>
      <c r="AF867" s="29"/>
      <c r="AG867" s="28"/>
      <c r="AH867" s="29"/>
      <c r="AI867" s="29"/>
      <c r="AJ867" s="29"/>
    </row>
    <row r="868">
      <c r="C868" s="23"/>
      <c r="L868" s="24"/>
      <c r="M868" s="25"/>
      <c r="N868" s="24"/>
      <c r="O868" s="26"/>
      <c r="P868" s="24"/>
      <c r="V868" s="23"/>
      <c r="W868" s="27"/>
      <c r="X868" s="27"/>
      <c r="Y868" s="28"/>
      <c r="Z868" s="27"/>
      <c r="AA868" s="27"/>
      <c r="AB868" s="27"/>
      <c r="AC868" s="28"/>
      <c r="AD868" s="29"/>
      <c r="AE868" s="29"/>
      <c r="AF868" s="29"/>
      <c r="AG868" s="28"/>
      <c r="AH868" s="29"/>
      <c r="AI868" s="29"/>
      <c r="AJ868" s="29"/>
    </row>
    <row r="869">
      <c r="C869" s="23"/>
      <c r="L869" s="24"/>
      <c r="M869" s="25"/>
      <c r="N869" s="24"/>
      <c r="O869" s="26"/>
      <c r="P869" s="24"/>
      <c r="V869" s="23"/>
      <c r="W869" s="27"/>
      <c r="X869" s="27"/>
      <c r="Y869" s="28"/>
      <c r="Z869" s="27"/>
      <c r="AA869" s="27"/>
      <c r="AB869" s="27"/>
      <c r="AC869" s="28"/>
      <c r="AD869" s="29"/>
      <c r="AE869" s="29"/>
      <c r="AF869" s="29"/>
      <c r="AG869" s="28"/>
      <c r="AH869" s="29"/>
      <c r="AI869" s="29"/>
      <c r="AJ869" s="29"/>
    </row>
    <row r="870">
      <c r="C870" s="23"/>
      <c r="L870" s="24"/>
      <c r="M870" s="25"/>
      <c r="N870" s="24"/>
      <c r="O870" s="26"/>
      <c r="P870" s="24"/>
      <c r="V870" s="23"/>
      <c r="W870" s="27"/>
      <c r="X870" s="27"/>
      <c r="Y870" s="28"/>
      <c r="Z870" s="27"/>
      <c r="AA870" s="27"/>
      <c r="AB870" s="27"/>
      <c r="AC870" s="28"/>
      <c r="AD870" s="29"/>
      <c r="AE870" s="29"/>
      <c r="AF870" s="29"/>
      <c r="AG870" s="28"/>
      <c r="AH870" s="29"/>
      <c r="AI870" s="29"/>
      <c r="AJ870" s="29"/>
    </row>
    <row r="871">
      <c r="C871" s="23"/>
      <c r="L871" s="24"/>
      <c r="M871" s="25"/>
      <c r="N871" s="24"/>
      <c r="O871" s="26"/>
      <c r="P871" s="24"/>
      <c r="V871" s="23"/>
      <c r="W871" s="27"/>
      <c r="X871" s="27"/>
      <c r="Y871" s="28"/>
      <c r="Z871" s="27"/>
      <c r="AA871" s="27"/>
      <c r="AB871" s="27"/>
      <c r="AC871" s="28"/>
      <c r="AD871" s="29"/>
      <c r="AE871" s="29"/>
      <c r="AF871" s="29"/>
      <c r="AG871" s="28"/>
      <c r="AH871" s="29"/>
      <c r="AI871" s="29"/>
      <c r="AJ871" s="29"/>
    </row>
    <row r="872">
      <c r="C872" s="23"/>
      <c r="L872" s="24"/>
      <c r="M872" s="25"/>
      <c r="N872" s="24"/>
      <c r="O872" s="26"/>
      <c r="P872" s="24"/>
      <c r="V872" s="23"/>
      <c r="W872" s="27"/>
      <c r="X872" s="27"/>
      <c r="Y872" s="28"/>
      <c r="Z872" s="27"/>
      <c r="AA872" s="27"/>
      <c r="AB872" s="27"/>
      <c r="AC872" s="28"/>
      <c r="AD872" s="29"/>
      <c r="AE872" s="29"/>
      <c r="AF872" s="29"/>
      <c r="AG872" s="28"/>
      <c r="AH872" s="29"/>
      <c r="AI872" s="29"/>
      <c r="AJ872" s="29"/>
    </row>
    <row r="873">
      <c r="C873" s="23"/>
      <c r="L873" s="24"/>
      <c r="M873" s="25"/>
      <c r="N873" s="24"/>
      <c r="O873" s="26"/>
      <c r="P873" s="24"/>
      <c r="V873" s="23"/>
      <c r="W873" s="27"/>
      <c r="X873" s="27"/>
      <c r="Y873" s="28"/>
      <c r="Z873" s="27"/>
      <c r="AA873" s="27"/>
      <c r="AB873" s="27"/>
      <c r="AC873" s="28"/>
      <c r="AD873" s="29"/>
      <c r="AE873" s="29"/>
      <c r="AF873" s="29"/>
      <c r="AG873" s="28"/>
      <c r="AH873" s="29"/>
      <c r="AI873" s="29"/>
      <c r="AJ873" s="29"/>
    </row>
    <row r="874">
      <c r="C874" s="23"/>
      <c r="L874" s="24"/>
      <c r="M874" s="25"/>
      <c r="N874" s="24"/>
      <c r="O874" s="26"/>
      <c r="P874" s="24"/>
      <c r="V874" s="23"/>
      <c r="W874" s="27"/>
      <c r="X874" s="27"/>
      <c r="Y874" s="28"/>
      <c r="Z874" s="27"/>
      <c r="AA874" s="27"/>
      <c r="AB874" s="27"/>
      <c r="AC874" s="28"/>
      <c r="AD874" s="29"/>
      <c r="AE874" s="29"/>
      <c r="AF874" s="29"/>
      <c r="AG874" s="28"/>
      <c r="AH874" s="29"/>
      <c r="AI874" s="29"/>
      <c r="AJ874" s="29"/>
    </row>
    <row r="875">
      <c r="C875" s="23"/>
      <c r="L875" s="24"/>
      <c r="M875" s="25"/>
      <c r="N875" s="24"/>
      <c r="O875" s="26"/>
      <c r="P875" s="24"/>
      <c r="V875" s="23"/>
      <c r="W875" s="27"/>
      <c r="X875" s="27"/>
      <c r="Y875" s="28"/>
      <c r="Z875" s="27"/>
      <c r="AA875" s="27"/>
      <c r="AB875" s="27"/>
      <c r="AC875" s="28"/>
      <c r="AD875" s="29"/>
      <c r="AE875" s="29"/>
      <c r="AF875" s="29"/>
      <c r="AG875" s="28"/>
      <c r="AH875" s="29"/>
      <c r="AI875" s="29"/>
      <c r="AJ875" s="29"/>
    </row>
    <row r="876">
      <c r="C876" s="23"/>
      <c r="L876" s="24"/>
      <c r="M876" s="25"/>
      <c r="N876" s="24"/>
      <c r="O876" s="26"/>
      <c r="P876" s="24"/>
      <c r="V876" s="23"/>
      <c r="W876" s="27"/>
      <c r="X876" s="27"/>
      <c r="Y876" s="28"/>
      <c r="Z876" s="27"/>
      <c r="AA876" s="27"/>
      <c r="AB876" s="27"/>
      <c r="AC876" s="28"/>
      <c r="AD876" s="29"/>
      <c r="AE876" s="29"/>
      <c r="AF876" s="29"/>
      <c r="AG876" s="28"/>
      <c r="AH876" s="29"/>
      <c r="AI876" s="29"/>
      <c r="AJ876" s="29"/>
    </row>
    <row r="877">
      <c r="C877" s="23"/>
      <c r="L877" s="24"/>
      <c r="M877" s="25"/>
      <c r="N877" s="24"/>
      <c r="O877" s="26"/>
      <c r="P877" s="24"/>
      <c r="V877" s="23"/>
      <c r="W877" s="27"/>
      <c r="X877" s="27"/>
      <c r="Y877" s="28"/>
      <c r="Z877" s="27"/>
      <c r="AA877" s="27"/>
      <c r="AB877" s="27"/>
      <c r="AC877" s="28"/>
      <c r="AD877" s="29"/>
      <c r="AE877" s="29"/>
      <c r="AF877" s="29"/>
      <c r="AG877" s="28"/>
      <c r="AH877" s="29"/>
      <c r="AI877" s="29"/>
      <c r="AJ877" s="29"/>
    </row>
    <row r="878">
      <c r="C878" s="23"/>
      <c r="L878" s="24"/>
      <c r="M878" s="25"/>
      <c r="N878" s="24"/>
      <c r="O878" s="26"/>
      <c r="P878" s="24"/>
      <c r="V878" s="23"/>
      <c r="W878" s="27"/>
      <c r="X878" s="27"/>
      <c r="Y878" s="28"/>
      <c r="Z878" s="27"/>
      <c r="AA878" s="27"/>
      <c r="AB878" s="27"/>
      <c r="AC878" s="28"/>
      <c r="AD878" s="29"/>
      <c r="AE878" s="29"/>
      <c r="AF878" s="29"/>
      <c r="AG878" s="28"/>
      <c r="AH878" s="29"/>
      <c r="AI878" s="29"/>
      <c r="AJ878" s="29"/>
    </row>
    <row r="879">
      <c r="C879" s="23"/>
      <c r="L879" s="24"/>
      <c r="M879" s="25"/>
      <c r="N879" s="24"/>
      <c r="O879" s="26"/>
      <c r="P879" s="24"/>
      <c r="V879" s="23"/>
      <c r="W879" s="27"/>
      <c r="X879" s="27"/>
      <c r="Y879" s="28"/>
      <c r="Z879" s="27"/>
      <c r="AA879" s="27"/>
      <c r="AB879" s="27"/>
      <c r="AC879" s="28"/>
      <c r="AD879" s="29"/>
      <c r="AE879" s="29"/>
      <c r="AF879" s="29"/>
      <c r="AG879" s="28"/>
      <c r="AH879" s="29"/>
      <c r="AI879" s="29"/>
      <c r="AJ879" s="29"/>
    </row>
    <row r="880">
      <c r="C880" s="23"/>
      <c r="L880" s="24"/>
      <c r="M880" s="25"/>
      <c r="N880" s="24"/>
      <c r="O880" s="26"/>
      <c r="P880" s="24"/>
      <c r="V880" s="23"/>
      <c r="W880" s="27"/>
      <c r="X880" s="27"/>
      <c r="Y880" s="28"/>
      <c r="Z880" s="27"/>
      <c r="AA880" s="27"/>
      <c r="AB880" s="27"/>
      <c r="AC880" s="28"/>
      <c r="AD880" s="29"/>
      <c r="AE880" s="29"/>
      <c r="AF880" s="29"/>
      <c r="AG880" s="28"/>
      <c r="AH880" s="29"/>
      <c r="AI880" s="29"/>
      <c r="AJ880" s="29"/>
    </row>
    <row r="881">
      <c r="C881" s="23"/>
      <c r="L881" s="24"/>
      <c r="M881" s="25"/>
      <c r="N881" s="24"/>
      <c r="O881" s="26"/>
      <c r="P881" s="24"/>
      <c r="V881" s="23"/>
      <c r="W881" s="27"/>
      <c r="X881" s="27"/>
      <c r="Y881" s="28"/>
      <c r="Z881" s="27"/>
      <c r="AA881" s="27"/>
      <c r="AB881" s="27"/>
      <c r="AC881" s="28"/>
      <c r="AD881" s="29"/>
      <c r="AE881" s="29"/>
      <c r="AF881" s="29"/>
      <c r="AG881" s="28"/>
      <c r="AH881" s="29"/>
      <c r="AI881" s="29"/>
      <c r="AJ881" s="29"/>
    </row>
    <row r="882">
      <c r="C882" s="23"/>
      <c r="L882" s="24"/>
      <c r="M882" s="25"/>
      <c r="N882" s="24"/>
      <c r="O882" s="26"/>
      <c r="P882" s="24"/>
      <c r="V882" s="23"/>
      <c r="W882" s="27"/>
      <c r="X882" s="27"/>
      <c r="Y882" s="28"/>
      <c r="Z882" s="27"/>
      <c r="AA882" s="27"/>
      <c r="AB882" s="27"/>
      <c r="AC882" s="28"/>
      <c r="AD882" s="29"/>
      <c r="AE882" s="29"/>
      <c r="AF882" s="29"/>
      <c r="AG882" s="28"/>
      <c r="AH882" s="29"/>
      <c r="AI882" s="29"/>
      <c r="AJ882" s="29"/>
    </row>
    <row r="883">
      <c r="C883" s="23"/>
      <c r="L883" s="24"/>
      <c r="M883" s="25"/>
      <c r="N883" s="24"/>
      <c r="O883" s="26"/>
      <c r="P883" s="24"/>
      <c r="V883" s="23"/>
      <c r="W883" s="27"/>
      <c r="X883" s="27"/>
      <c r="Y883" s="28"/>
      <c r="Z883" s="27"/>
      <c r="AA883" s="27"/>
      <c r="AB883" s="27"/>
      <c r="AC883" s="28"/>
      <c r="AD883" s="29"/>
      <c r="AE883" s="29"/>
      <c r="AF883" s="29"/>
      <c r="AG883" s="28"/>
      <c r="AH883" s="29"/>
      <c r="AI883" s="29"/>
      <c r="AJ883" s="29"/>
    </row>
    <row r="884">
      <c r="C884" s="23"/>
      <c r="L884" s="24"/>
      <c r="M884" s="25"/>
      <c r="N884" s="24"/>
      <c r="O884" s="26"/>
      <c r="P884" s="24"/>
      <c r="V884" s="23"/>
      <c r="W884" s="27"/>
      <c r="X884" s="27"/>
      <c r="Y884" s="28"/>
      <c r="Z884" s="27"/>
      <c r="AA884" s="27"/>
      <c r="AB884" s="27"/>
      <c r="AC884" s="28"/>
      <c r="AD884" s="29"/>
      <c r="AE884" s="29"/>
      <c r="AF884" s="29"/>
      <c r="AG884" s="28"/>
      <c r="AH884" s="29"/>
      <c r="AI884" s="29"/>
      <c r="AJ884" s="29"/>
    </row>
    <row r="885">
      <c r="C885" s="23"/>
      <c r="L885" s="24"/>
      <c r="M885" s="25"/>
      <c r="N885" s="24"/>
      <c r="O885" s="26"/>
      <c r="P885" s="24"/>
      <c r="V885" s="23"/>
      <c r="W885" s="27"/>
      <c r="X885" s="27"/>
      <c r="Y885" s="28"/>
      <c r="Z885" s="27"/>
      <c r="AA885" s="27"/>
      <c r="AB885" s="27"/>
      <c r="AC885" s="28"/>
      <c r="AD885" s="29"/>
      <c r="AE885" s="29"/>
      <c r="AF885" s="29"/>
      <c r="AG885" s="28"/>
      <c r="AH885" s="29"/>
      <c r="AI885" s="29"/>
      <c r="AJ885" s="29"/>
    </row>
    <row r="886">
      <c r="C886" s="23"/>
      <c r="L886" s="24"/>
      <c r="M886" s="25"/>
      <c r="N886" s="24"/>
      <c r="O886" s="26"/>
      <c r="P886" s="24"/>
      <c r="V886" s="23"/>
      <c r="W886" s="27"/>
      <c r="X886" s="27"/>
      <c r="Y886" s="28"/>
      <c r="Z886" s="27"/>
      <c r="AA886" s="27"/>
      <c r="AB886" s="27"/>
      <c r="AC886" s="28"/>
      <c r="AD886" s="29"/>
      <c r="AE886" s="29"/>
      <c r="AF886" s="29"/>
      <c r="AG886" s="28"/>
      <c r="AH886" s="29"/>
      <c r="AI886" s="29"/>
      <c r="AJ886" s="29"/>
    </row>
    <row r="887">
      <c r="C887" s="23"/>
      <c r="L887" s="24"/>
      <c r="M887" s="25"/>
      <c r="N887" s="24"/>
      <c r="O887" s="26"/>
      <c r="P887" s="24"/>
      <c r="V887" s="23"/>
      <c r="W887" s="27"/>
      <c r="X887" s="27"/>
      <c r="Y887" s="28"/>
      <c r="Z887" s="27"/>
      <c r="AA887" s="27"/>
      <c r="AB887" s="27"/>
      <c r="AC887" s="28"/>
      <c r="AD887" s="29"/>
      <c r="AE887" s="29"/>
      <c r="AF887" s="29"/>
      <c r="AG887" s="28"/>
      <c r="AH887" s="29"/>
      <c r="AI887" s="29"/>
      <c r="AJ887" s="29"/>
    </row>
    <row r="888">
      <c r="C888" s="23"/>
      <c r="L888" s="24"/>
      <c r="M888" s="25"/>
      <c r="N888" s="24"/>
      <c r="O888" s="26"/>
      <c r="P888" s="24"/>
      <c r="V888" s="23"/>
      <c r="W888" s="27"/>
      <c r="X888" s="27"/>
      <c r="Y888" s="28"/>
      <c r="Z888" s="27"/>
      <c r="AA888" s="27"/>
      <c r="AB888" s="27"/>
      <c r="AC888" s="28"/>
      <c r="AD888" s="29"/>
      <c r="AE888" s="29"/>
      <c r="AF888" s="29"/>
      <c r="AG888" s="28"/>
      <c r="AH888" s="29"/>
      <c r="AI888" s="29"/>
      <c r="AJ888" s="29"/>
    </row>
    <row r="889">
      <c r="C889" s="23"/>
      <c r="L889" s="24"/>
      <c r="M889" s="25"/>
      <c r="N889" s="24"/>
      <c r="O889" s="26"/>
      <c r="P889" s="24"/>
      <c r="V889" s="23"/>
      <c r="W889" s="27"/>
      <c r="X889" s="27"/>
      <c r="Y889" s="28"/>
      <c r="Z889" s="27"/>
      <c r="AA889" s="27"/>
      <c r="AB889" s="27"/>
      <c r="AC889" s="28"/>
      <c r="AD889" s="29"/>
      <c r="AE889" s="29"/>
      <c r="AF889" s="29"/>
      <c r="AG889" s="28"/>
      <c r="AH889" s="29"/>
      <c r="AI889" s="29"/>
      <c r="AJ889" s="29"/>
    </row>
    <row r="890">
      <c r="C890" s="23"/>
      <c r="L890" s="24"/>
      <c r="M890" s="25"/>
      <c r="N890" s="24"/>
      <c r="O890" s="26"/>
      <c r="P890" s="24"/>
      <c r="V890" s="23"/>
      <c r="W890" s="27"/>
      <c r="X890" s="27"/>
      <c r="Y890" s="28"/>
      <c r="Z890" s="27"/>
      <c r="AA890" s="27"/>
      <c r="AB890" s="27"/>
      <c r="AC890" s="28"/>
      <c r="AD890" s="29"/>
      <c r="AE890" s="29"/>
      <c r="AF890" s="29"/>
      <c r="AG890" s="28"/>
      <c r="AH890" s="29"/>
      <c r="AI890" s="29"/>
      <c r="AJ890" s="29"/>
    </row>
    <row r="891">
      <c r="C891" s="23"/>
      <c r="L891" s="24"/>
      <c r="M891" s="25"/>
      <c r="N891" s="24"/>
      <c r="O891" s="26"/>
      <c r="P891" s="24"/>
      <c r="V891" s="23"/>
      <c r="W891" s="27"/>
      <c r="X891" s="27"/>
      <c r="Y891" s="28"/>
      <c r="Z891" s="27"/>
      <c r="AA891" s="27"/>
      <c r="AB891" s="27"/>
      <c r="AC891" s="28"/>
      <c r="AD891" s="29"/>
      <c r="AE891" s="29"/>
      <c r="AF891" s="29"/>
      <c r="AG891" s="28"/>
      <c r="AH891" s="29"/>
      <c r="AI891" s="29"/>
      <c r="AJ891" s="29"/>
    </row>
    <row r="892">
      <c r="C892" s="23"/>
      <c r="L892" s="24"/>
      <c r="M892" s="25"/>
      <c r="N892" s="24"/>
      <c r="O892" s="26"/>
      <c r="P892" s="24"/>
      <c r="V892" s="23"/>
      <c r="W892" s="27"/>
      <c r="X892" s="27"/>
      <c r="Y892" s="28"/>
      <c r="Z892" s="27"/>
      <c r="AA892" s="27"/>
      <c r="AB892" s="27"/>
      <c r="AC892" s="28"/>
      <c r="AD892" s="29"/>
      <c r="AE892" s="29"/>
      <c r="AF892" s="29"/>
      <c r="AG892" s="28"/>
      <c r="AH892" s="29"/>
      <c r="AI892" s="29"/>
      <c r="AJ892" s="29"/>
    </row>
    <row r="893">
      <c r="C893" s="23"/>
      <c r="L893" s="24"/>
      <c r="M893" s="25"/>
      <c r="N893" s="24"/>
      <c r="O893" s="26"/>
      <c r="P893" s="24"/>
      <c r="V893" s="23"/>
      <c r="W893" s="27"/>
      <c r="X893" s="27"/>
      <c r="Y893" s="28"/>
      <c r="Z893" s="27"/>
      <c r="AA893" s="27"/>
      <c r="AB893" s="27"/>
      <c r="AC893" s="28"/>
      <c r="AD893" s="29"/>
      <c r="AE893" s="29"/>
      <c r="AF893" s="29"/>
      <c r="AG893" s="28"/>
      <c r="AH893" s="29"/>
      <c r="AI893" s="29"/>
      <c r="AJ893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8.75"/>
    <col customWidth="1" min="3" max="3" width="14.0"/>
  </cols>
  <sheetData>
    <row r="1">
      <c r="A1" s="30" t="s">
        <v>197</v>
      </c>
      <c r="B1" s="30" t="s">
        <v>17</v>
      </c>
      <c r="C1" s="31" t="s">
        <v>198</v>
      </c>
    </row>
    <row r="2">
      <c r="A2" s="32" t="s">
        <v>199</v>
      </c>
      <c r="B2" s="32" t="s">
        <v>200</v>
      </c>
      <c r="C2" s="33">
        <v>60.0</v>
      </c>
    </row>
    <row r="3">
      <c r="A3" s="32" t="s">
        <v>201</v>
      </c>
      <c r="B3" s="32" t="s">
        <v>202</v>
      </c>
      <c r="C3" s="33">
        <v>50.0</v>
      </c>
    </row>
    <row r="4">
      <c r="A4" s="32" t="s">
        <v>203</v>
      </c>
      <c r="B4" s="32" t="s">
        <v>204</v>
      </c>
      <c r="C4" s="33">
        <v>60.0</v>
      </c>
    </row>
    <row r="5">
      <c r="A5" s="32" t="s">
        <v>205</v>
      </c>
      <c r="B5" s="32" t="s">
        <v>206</v>
      </c>
      <c r="C5" s="33">
        <v>90.0</v>
      </c>
    </row>
    <row r="6">
      <c r="A6" s="32" t="s">
        <v>207</v>
      </c>
      <c r="B6" s="32" t="s">
        <v>208</v>
      </c>
      <c r="C6" s="33">
        <v>100.0</v>
      </c>
    </row>
    <row r="7">
      <c r="A7" s="32" t="s">
        <v>209</v>
      </c>
      <c r="B7" s="32" t="s">
        <v>204</v>
      </c>
      <c r="C7" s="33" t="s">
        <v>210</v>
      </c>
    </row>
    <row r="8">
      <c r="A8" s="32" t="s">
        <v>211</v>
      </c>
      <c r="B8" s="32" t="s">
        <v>202</v>
      </c>
      <c r="C8" s="33">
        <v>70.0</v>
      </c>
    </row>
    <row r="9">
      <c r="A9" s="32" t="s">
        <v>212</v>
      </c>
      <c r="B9" s="32" t="s">
        <v>213</v>
      </c>
      <c r="C9" s="33">
        <v>50.0</v>
      </c>
    </row>
    <row r="10">
      <c r="A10" s="32" t="s">
        <v>214</v>
      </c>
      <c r="B10" s="32" t="s">
        <v>215</v>
      </c>
      <c r="C10" s="33">
        <v>10.0</v>
      </c>
    </row>
    <row r="11">
      <c r="A11" s="32" t="s">
        <v>216</v>
      </c>
      <c r="B11" s="32" t="s">
        <v>217</v>
      </c>
      <c r="C11" s="33">
        <v>40.0</v>
      </c>
    </row>
    <row r="12">
      <c r="A12" s="32" t="s">
        <v>218</v>
      </c>
      <c r="B12" s="32" t="s">
        <v>219</v>
      </c>
      <c r="C12" s="33">
        <v>10.0</v>
      </c>
    </row>
    <row r="13">
      <c r="A13" s="32" t="s">
        <v>220</v>
      </c>
      <c r="B13" s="32" t="s">
        <v>221</v>
      </c>
      <c r="C13" s="33">
        <v>10.0</v>
      </c>
    </row>
    <row r="14">
      <c r="A14" s="32" t="s">
        <v>222</v>
      </c>
      <c r="B14" s="32" t="s">
        <v>204</v>
      </c>
      <c r="C14" s="33" t="s">
        <v>210</v>
      </c>
    </row>
    <row r="15">
      <c r="A15" s="32" t="s">
        <v>223</v>
      </c>
      <c r="B15" s="32" t="s">
        <v>208</v>
      </c>
      <c r="C15" s="33">
        <v>20.0</v>
      </c>
    </row>
    <row r="16">
      <c r="A16" s="32" t="s">
        <v>224</v>
      </c>
      <c r="B16" s="32" t="s">
        <v>200</v>
      </c>
      <c r="C16" s="33">
        <v>70.0</v>
      </c>
    </row>
    <row r="17">
      <c r="A17" s="32" t="s">
        <v>225</v>
      </c>
      <c r="B17" s="32" t="s">
        <v>226</v>
      </c>
      <c r="C17" s="33">
        <v>50.0</v>
      </c>
    </row>
    <row r="18">
      <c r="A18" s="32" t="s">
        <v>227</v>
      </c>
      <c r="B18" s="32" t="s">
        <v>228</v>
      </c>
      <c r="C18" s="33">
        <v>80.0</v>
      </c>
    </row>
    <row r="19">
      <c r="A19" s="32" t="s">
        <v>229</v>
      </c>
      <c r="B19" s="32" t="s">
        <v>230</v>
      </c>
      <c r="C19" s="33">
        <v>40.0</v>
      </c>
    </row>
    <row r="20">
      <c r="A20" s="32" t="s">
        <v>231</v>
      </c>
      <c r="B20" s="32" t="s">
        <v>232</v>
      </c>
      <c r="C20" s="33">
        <v>40.0</v>
      </c>
    </row>
    <row r="21">
      <c r="A21" s="32" t="s">
        <v>233</v>
      </c>
      <c r="B21" s="32" t="s">
        <v>215</v>
      </c>
      <c r="C21" s="33">
        <v>70.0</v>
      </c>
    </row>
    <row r="22">
      <c r="A22" s="32" t="s">
        <v>234</v>
      </c>
      <c r="B22" s="32" t="s">
        <v>235</v>
      </c>
      <c r="C22" s="33">
        <v>90.0</v>
      </c>
    </row>
    <row r="23">
      <c r="A23" s="32" t="s">
        <v>236</v>
      </c>
      <c r="B23" s="32" t="s">
        <v>235</v>
      </c>
      <c r="C23" s="33">
        <v>70.0</v>
      </c>
    </row>
    <row r="24">
      <c r="A24" s="32" t="s">
        <v>237</v>
      </c>
      <c r="B24" s="32" t="s">
        <v>235</v>
      </c>
      <c r="C24" s="33">
        <v>80.0</v>
      </c>
    </row>
    <row r="25">
      <c r="A25" s="32" t="s">
        <v>238</v>
      </c>
      <c r="B25" s="32" t="s">
        <v>239</v>
      </c>
      <c r="C25" s="33">
        <v>20.0</v>
      </c>
    </row>
    <row r="26">
      <c r="A26" s="32" t="s">
        <v>240</v>
      </c>
      <c r="B26" s="32" t="s">
        <v>241</v>
      </c>
      <c r="C26" s="33">
        <v>10.0</v>
      </c>
    </row>
    <row r="27">
      <c r="A27" s="32" t="s">
        <v>242</v>
      </c>
      <c r="B27" s="32" t="s">
        <v>243</v>
      </c>
      <c r="C27" s="33">
        <v>10.0</v>
      </c>
    </row>
    <row r="28">
      <c r="A28" s="32" t="s">
        <v>244</v>
      </c>
      <c r="B28" s="32" t="s">
        <v>208</v>
      </c>
      <c r="C28" s="33">
        <v>10.0</v>
      </c>
    </row>
    <row r="29">
      <c r="A29" s="32" t="s">
        <v>245</v>
      </c>
      <c r="B29" s="32" t="s">
        <v>239</v>
      </c>
      <c r="C29" s="33">
        <v>20.0</v>
      </c>
    </row>
    <row r="30">
      <c r="A30" s="32" t="s">
        <v>246</v>
      </c>
      <c r="B30" s="32" t="s">
        <v>215</v>
      </c>
      <c r="C30" s="33">
        <v>10.0</v>
      </c>
    </row>
    <row r="31">
      <c r="A31" s="32" t="s">
        <v>247</v>
      </c>
      <c r="B31" s="32" t="s">
        <v>248</v>
      </c>
      <c r="C31" s="33">
        <v>20.0</v>
      </c>
    </row>
    <row r="32">
      <c r="A32" s="32" t="s">
        <v>249</v>
      </c>
      <c r="B32" s="32" t="s">
        <v>204</v>
      </c>
      <c r="C32" s="33">
        <v>10.0</v>
      </c>
    </row>
    <row r="33">
      <c r="A33" s="32" t="s">
        <v>250</v>
      </c>
      <c r="B33" s="32" t="s">
        <v>215</v>
      </c>
      <c r="C33" s="33">
        <v>50.0</v>
      </c>
    </row>
    <row r="34">
      <c r="A34" s="32" t="s">
        <v>251</v>
      </c>
      <c r="B34" s="32" t="s">
        <v>215</v>
      </c>
      <c r="C34" s="33">
        <v>200.0</v>
      </c>
    </row>
    <row r="35">
      <c r="A35" s="32" t="s">
        <v>252</v>
      </c>
      <c r="B35" s="32" t="s">
        <v>217</v>
      </c>
      <c r="C35" s="33">
        <v>100.0</v>
      </c>
    </row>
    <row r="36">
      <c r="A36" s="32" t="s">
        <v>253</v>
      </c>
      <c r="B36" s="32" t="s">
        <v>200</v>
      </c>
      <c r="C36" s="33">
        <v>100.0</v>
      </c>
    </row>
    <row r="37">
      <c r="A37" s="32" t="s">
        <v>254</v>
      </c>
      <c r="B37" s="32" t="s">
        <v>208</v>
      </c>
      <c r="C37" s="33">
        <v>20.0</v>
      </c>
    </row>
    <row r="38">
      <c r="A38" s="32" t="s">
        <v>255</v>
      </c>
      <c r="B38" s="32" t="s">
        <v>235</v>
      </c>
      <c r="C38" s="33">
        <v>60.0</v>
      </c>
    </row>
    <row r="39">
      <c r="A39" s="32" t="s">
        <v>256</v>
      </c>
      <c r="B39" s="32" t="s">
        <v>257</v>
      </c>
      <c r="C39" s="33">
        <v>60.0</v>
      </c>
    </row>
    <row r="40">
      <c r="A40" s="32" t="s">
        <v>258</v>
      </c>
      <c r="B40" s="32" t="s">
        <v>200</v>
      </c>
      <c r="C40" s="33">
        <v>100.0</v>
      </c>
    </row>
    <row r="41">
      <c r="A41" s="32" t="s">
        <v>259</v>
      </c>
      <c r="B41" s="32" t="s">
        <v>208</v>
      </c>
      <c r="C41" s="33">
        <v>10.0</v>
      </c>
    </row>
    <row r="42">
      <c r="A42" s="32" t="s">
        <v>260</v>
      </c>
      <c r="B42" s="32" t="s">
        <v>208</v>
      </c>
      <c r="C42" s="33">
        <v>60.0</v>
      </c>
    </row>
    <row r="43">
      <c r="A43" s="32" t="s">
        <v>261</v>
      </c>
      <c r="B43" s="32" t="s">
        <v>241</v>
      </c>
      <c r="C43" s="33">
        <v>10.0</v>
      </c>
    </row>
    <row r="44">
      <c r="A44" s="32" t="s">
        <v>262</v>
      </c>
      <c r="B44" s="32" t="s">
        <v>235</v>
      </c>
      <c r="C44" s="33">
        <v>10.0</v>
      </c>
    </row>
    <row r="45">
      <c r="A45" s="32" t="s">
        <v>263</v>
      </c>
      <c r="B45" s="32" t="s">
        <v>264</v>
      </c>
      <c r="C45" s="33">
        <v>20.0</v>
      </c>
    </row>
    <row r="46">
      <c r="A46" s="32" t="s">
        <v>265</v>
      </c>
      <c r="B46" s="32" t="s">
        <v>266</v>
      </c>
      <c r="C46" s="33">
        <v>10.0</v>
      </c>
    </row>
    <row r="47">
      <c r="A47" s="32" t="s">
        <v>267</v>
      </c>
      <c r="B47" s="32" t="s">
        <v>268</v>
      </c>
      <c r="C47" s="33">
        <v>50.0</v>
      </c>
    </row>
    <row r="48">
      <c r="A48" s="32" t="s">
        <v>269</v>
      </c>
      <c r="B48" s="32" t="s">
        <v>248</v>
      </c>
      <c r="C48" s="33">
        <v>50.0</v>
      </c>
    </row>
    <row r="49">
      <c r="A49" s="32" t="s">
        <v>270</v>
      </c>
      <c r="B49" s="32" t="s">
        <v>208</v>
      </c>
      <c r="C49" s="33">
        <v>60.0</v>
      </c>
    </row>
    <row r="50">
      <c r="A50" s="32" t="s">
        <v>271</v>
      </c>
      <c r="B50" s="32" t="s">
        <v>208</v>
      </c>
      <c r="C50" s="33">
        <v>50.0</v>
      </c>
    </row>
    <row r="51">
      <c r="A51" s="32" t="s">
        <v>272</v>
      </c>
      <c r="B51" s="32" t="s">
        <v>208</v>
      </c>
      <c r="C51" s="33">
        <v>10.0</v>
      </c>
    </row>
    <row r="52">
      <c r="A52" s="32" t="s">
        <v>273</v>
      </c>
      <c r="B52" s="32" t="s">
        <v>208</v>
      </c>
      <c r="C52" s="33">
        <v>50.0</v>
      </c>
    </row>
    <row r="53">
      <c r="A53" s="32" t="s">
        <v>274</v>
      </c>
      <c r="B53" s="32" t="s">
        <v>275</v>
      </c>
      <c r="C53" s="33">
        <v>40.0</v>
      </c>
    </row>
    <row r="54">
      <c r="A54" s="32" t="s">
        <v>144</v>
      </c>
      <c r="B54" s="32" t="s">
        <v>239</v>
      </c>
      <c r="C54" s="33">
        <v>10.0</v>
      </c>
    </row>
    <row r="55">
      <c r="A55" s="32" t="s">
        <v>276</v>
      </c>
      <c r="B55" s="32" t="s">
        <v>277</v>
      </c>
      <c r="C55" s="33">
        <v>20.0</v>
      </c>
    </row>
    <row r="56">
      <c r="A56" s="32" t="s">
        <v>278</v>
      </c>
      <c r="B56" s="32" t="s">
        <v>226</v>
      </c>
      <c r="C56" s="33">
        <v>20.0</v>
      </c>
    </row>
    <row r="57">
      <c r="A57" s="32" t="s">
        <v>279</v>
      </c>
      <c r="B57" s="32" t="s">
        <v>208</v>
      </c>
      <c r="C57" s="33">
        <v>10.0</v>
      </c>
    </row>
    <row r="58">
      <c r="A58" s="32" t="s">
        <v>280</v>
      </c>
      <c r="B58" s="32" t="s">
        <v>208</v>
      </c>
      <c r="C58" s="33">
        <v>20.0</v>
      </c>
    </row>
    <row r="59">
      <c r="A59" s="32" t="s">
        <v>281</v>
      </c>
      <c r="B59" s="32" t="s">
        <v>208</v>
      </c>
      <c r="C59" s="33">
        <v>10.0</v>
      </c>
    </row>
    <row r="60">
      <c r="A60" s="32" t="s">
        <v>282</v>
      </c>
      <c r="B60" s="32" t="s">
        <v>266</v>
      </c>
      <c r="C60" s="33">
        <v>80.0</v>
      </c>
    </row>
    <row r="61">
      <c r="A61" s="32" t="s">
        <v>283</v>
      </c>
      <c r="B61" s="32" t="s">
        <v>257</v>
      </c>
      <c r="C61" s="33" t="s">
        <v>210</v>
      </c>
    </row>
    <row r="62">
      <c r="A62" s="32" t="s">
        <v>284</v>
      </c>
      <c r="B62" s="32" t="s">
        <v>230</v>
      </c>
      <c r="C62" s="33">
        <v>40.0</v>
      </c>
    </row>
    <row r="63">
      <c r="A63" s="32" t="s">
        <v>285</v>
      </c>
      <c r="B63" s="32" t="s">
        <v>217</v>
      </c>
      <c r="C63" s="33">
        <v>50.0</v>
      </c>
    </row>
    <row r="64">
      <c r="A64" s="32" t="s">
        <v>286</v>
      </c>
      <c r="B64" s="32" t="s">
        <v>257</v>
      </c>
      <c r="C64" s="33">
        <v>20.0</v>
      </c>
    </row>
    <row r="65">
      <c r="A65" s="32" t="s">
        <v>287</v>
      </c>
      <c r="B65" s="32" t="s">
        <v>288</v>
      </c>
      <c r="C65" s="33">
        <v>100.0</v>
      </c>
    </row>
    <row r="66">
      <c r="A66" s="32" t="s">
        <v>289</v>
      </c>
      <c r="B66" s="32" t="s">
        <v>230</v>
      </c>
      <c r="C66" s="33">
        <v>60.0</v>
      </c>
    </row>
    <row r="67">
      <c r="A67" s="32" t="s">
        <v>290</v>
      </c>
      <c r="B67" s="32" t="s">
        <v>291</v>
      </c>
      <c r="C67" s="33">
        <v>50.0</v>
      </c>
    </row>
    <row r="68">
      <c r="A68" s="32" t="s">
        <v>292</v>
      </c>
      <c r="B68" s="32" t="s">
        <v>293</v>
      </c>
      <c r="C68" s="33">
        <v>50.0</v>
      </c>
    </row>
    <row r="69">
      <c r="A69" s="32" t="s">
        <v>294</v>
      </c>
      <c r="B69" s="32" t="s">
        <v>257</v>
      </c>
      <c r="C69" s="33">
        <v>10.0</v>
      </c>
    </row>
    <row r="70">
      <c r="A70" s="32" t="s">
        <v>295</v>
      </c>
      <c r="B70" s="32" t="s">
        <v>296</v>
      </c>
      <c r="C70" s="33">
        <v>10.0</v>
      </c>
    </row>
    <row r="71">
      <c r="A71" s="32" t="s">
        <v>297</v>
      </c>
      <c r="B71" s="32" t="s">
        <v>298</v>
      </c>
      <c r="C71" s="33">
        <v>20.0</v>
      </c>
    </row>
    <row r="72">
      <c r="A72" s="32" t="s">
        <v>299</v>
      </c>
      <c r="B72" s="32" t="s">
        <v>300</v>
      </c>
      <c r="C72" s="33">
        <v>80.0</v>
      </c>
    </row>
    <row r="73">
      <c r="A73" s="32" t="s">
        <v>301</v>
      </c>
      <c r="B73" s="32" t="s">
        <v>217</v>
      </c>
      <c r="C73" s="33">
        <v>40.0</v>
      </c>
    </row>
    <row r="74">
      <c r="A74" s="32" t="s">
        <v>302</v>
      </c>
      <c r="B74" s="32" t="s">
        <v>257</v>
      </c>
      <c r="C74" s="33">
        <v>50.0</v>
      </c>
    </row>
    <row r="75">
      <c r="A75" s="32" t="s">
        <v>303</v>
      </c>
      <c r="B75" s="32" t="s">
        <v>257</v>
      </c>
      <c r="C75" s="33">
        <v>40.0</v>
      </c>
    </row>
    <row r="76">
      <c r="A76" s="32" t="s">
        <v>304</v>
      </c>
      <c r="B76" s="32" t="s">
        <v>257</v>
      </c>
      <c r="C76" s="33">
        <v>60.0</v>
      </c>
    </row>
    <row r="77">
      <c r="A77" s="32" t="s">
        <v>305</v>
      </c>
      <c r="B77" s="32" t="s">
        <v>306</v>
      </c>
      <c r="C77" s="33">
        <v>40.0</v>
      </c>
    </row>
    <row r="78">
      <c r="A78" s="32" t="s">
        <v>307</v>
      </c>
      <c r="B78" s="32" t="s">
        <v>308</v>
      </c>
      <c r="C78" s="33">
        <v>40.0</v>
      </c>
    </row>
    <row r="79">
      <c r="A79" s="32" t="s">
        <v>309</v>
      </c>
      <c r="B79" s="32" t="s">
        <v>221</v>
      </c>
      <c r="C79" s="33">
        <v>20.0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310</v>
      </c>
      <c r="B1" s="34" t="s">
        <v>311</v>
      </c>
    </row>
    <row r="2">
      <c r="A2" s="35" t="s">
        <v>62</v>
      </c>
      <c r="B2" s="36">
        <v>2.35665566E8</v>
      </c>
    </row>
    <row r="3">
      <c r="A3" s="35" t="s">
        <v>144</v>
      </c>
      <c r="B3" s="36">
        <v>5.32616595E8</v>
      </c>
    </row>
    <row r="4">
      <c r="A4" s="35" t="s">
        <v>167</v>
      </c>
      <c r="B4" s="36">
        <v>1.76733968E8</v>
      </c>
    </row>
    <row r="5">
      <c r="A5" s="35" t="s">
        <v>126</v>
      </c>
      <c r="B5" s="36">
        <v>4.394245879E9</v>
      </c>
    </row>
    <row r="6">
      <c r="A6" s="35" t="s">
        <v>74</v>
      </c>
      <c r="B6" s="36">
        <v>6.2305891E7</v>
      </c>
    </row>
    <row r="7">
      <c r="A7" s="35" t="s">
        <v>175</v>
      </c>
      <c r="B7" s="36">
        <v>1.349217892E9</v>
      </c>
    </row>
    <row r="8">
      <c r="A8" s="35" t="s">
        <v>60</v>
      </c>
      <c r="B8" s="36">
        <v>3.27593725E8</v>
      </c>
    </row>
    <row r="9">
      <c r="A9" s="35" t="s">
        <v>177</v>
      </c>
      <c r="B9" s="36">
        <v>5.60279011E9</v>
      </c>
    </row>
    <row r="10">
      <c r="A10" s="35" t="s">
        <v>128</v>
      </c>
      <c r="B10" s="36">
        <v>6.71750768E8</v>
      </c>
    </row>
    <row r="11">
      <c r="A11" s="35" t="s">
        <v>114</v>
      </c>
      <c r="B11" s="36">
        <v>1.500728902E9</v>
      </c>
    </row>
    <row r="12">
      <c r="A12" s="35" t="s">
        <v>76</v>
      </c>
      <c r="B12" s="36">
        <v>5.146576868E9</v>
      </c>
    </row>
    <row r="13">
      <c r="A13" s="35" t="s">
        <v>94</v>
      </c>
      <c r="B13" s="36">
        <v>2.51003438E8</v>
      </c>
    </row>
    <row r="14">
      <c r="A14" s="35" t="s">
        <v>102</v>
      </c>
      <c r="B14" s="36">
        <v>1.420949112E9</v>
      </c>
    </row>
    <row r="15">
      <c r="A15" s="35" t="s">
        <v>58</v>
      </c>
      <c r="B15" s="36">
        <v>2.65877867E8</v>
      </c>
    </row>
    <row r="16">
      <c r="A16" s="35" t="s">
        <v>82</v>
      </c>
      <c r="B16" s="36">
        <v>1.677525446E9</v>
      </c>
    </row>
    <row r="17">
      <c r="A17" s="35" t="s">
        <v>312</v>
      </c>
      <c r="B17" s="36">
        <v>1.150645866E9</v>
      </c>
    </row>
    <row r="18">
      <c r="A18" s="35" t="s">
        <v>187</v>
      </c>
      <c r="B18" s="36">
        <v>5.33990587E8</v>
      </c>
    </row>
    <row r="19">
      <c r="A19" s="35" t="s">
        <v>189</v>
      </c>
      <c r="B19" s="36">
        <v>9.4843047E7</v>
      </c>
    </row>
    <row r="20">
      <c r="A20" s="35" t="s">
        <v>146</v>
      </c>
      <c r="B20" s="36">
        <v>9.95335937E8</v>
      </c>
    </row>
    <row r="21">
      <c r="A21" s="35" t="s">
        <v>134</v>
      </c>
      <c r="B21" s="36">
        <v>1.437415777E9</v>
      </c>
    </row>
    <row r="22">
      <c r="A22" s="35" t="s">
        <v>88</v>
      </c>
      <c r="B22" s="36">
        <v>1.095462329E9</v>
      </c>
    </row>
    <row r="23">
      <c r="A23" s="35" t="s">
        <v>148</v>
      </c>
      <c r="B23" s="36">
        <v>1.81492098E9</v>
      </c>
    </row>
    <row r="24">
      <c r="A24" s="35" t="s">
        <v>120</v>
      </c>
      <c r="B24" s="36">
        <v>1.67933529E9</v>
      </c>
    </row>
    <row r="25">
      <c r="A25" s="35" t="s">
        <v>108</v>
      </c>
      <c r="B25" s="36">
        <v>1.168097881E9</v>
      </c>
    </row>
    <row r="26">
      <c r="A26" s="35" t="s">
        <v>44</v>
      </c>
      <c r="B26" s="36">
        <v>1.87732538E8</v>
      </c>
    </row>
    <row r="27">
      <c r="A27" s="35" t="s">
        <v>38</v>
      </c>
      <c r="B27" s="36">
        <v>1.110559345E9</v>
      </c>
    </row>
    <row r="28">
      <c r="A28" s="35" t="s">
        <v>193</v>
      </c>
      <c r="B28" s="36">
        <v>5.25582771E8</v>
      </c>
    </row>
    <row r="29">
      <c r="A29" s="35" t="s">
        <v>169</v>
      </c>
      <c r="B29" s="36">
        <v>2.65784616E8</v>
      </c>
    </row>
    <row r="30">
      <c r="A30" s="35" t="s">
        <v>90</v>
      </c>
      <c r="B30" s="36">
        <v>3.0276824E8</v>
      </c>
    </row>
    <row r="31">
      <c r="A31" s="35" t="s">
        <v>158</v>
      </c>
      <c r="B31" s="36">
        <v>1.980568384E9</v>
      </c>
    </row>
    <row r="32">
      <c r="A32" s="35" t="s">
        <v>136</v>
      </c>
      <c r="B32" s="36">
        <v>2.68544014E8</v>
      </c>
    </row>
    <row r="33">
      <c r="A33" s="35" t="s">
        <v>171</v>
      </c>
      <c r="B33" s="36">
        <v>7.34632705E8</v>
      </c>
    </row>
    <row r="34">
      <c r="A34" s="35" t="s">
        <v>313</v>
      </c>
      <c r="B34" s="36">
        <v>2.90386402E8</v>
      </c>
    </row>
    <row r="35">
      <c r="A35" s="35" t="s">
        <v>138</v>
      </c>
      <c r="B35" s="36">
        <v>1.579130168E9</v>
      </c>
    </row>
    <row r="36">
      <c r="A36" s="35" t="s">
        <v>152</v>
      </c>
      <c r="B36" s="36">
        <v>2.55236961E8</v>
      </c>
    </row>
    <row r="37">
      <c r="A37" s="35" t="s">
        <v>64</v>
      </c>
      <c r="B37" s="36">
        <v>1.095587251E9</v>
      </c>
    </row>
    <row r="38">
      <c r="A38" s="35" t="s">
        <v>162</v>
      </c>
      <c r="B38" s="36">
        <v>9.1514307E7</v>
      </c>
    </row>
    <row r="39">
      <c r="A39" s="35" t="s">
        <v>164</v>
      </c>
      <c r="B39" s="36">
        <v>2.40822651E8</v>
      </c>
    </row>
    <row r="40">
      <c r="A40" s="35" t="s">
        <v>116</v>
      </c>
      <c r="B40" s="36">
        <v>1.118525506E9</v>
      </c>
    </row>
    <row r="41">
      <c r="A41" s="35" t="s">
        <v>106</v>
      </c>
      <c r="B41" s="36">
        <v>6.60411219E8</v>
      </c>
    </row>
    <row r="42">
      <c r="A42" s="35" t="s">
        <v>195</v>
      </c>
      <c r="B42" s="36">
        <v>1.98184909E8</v>
      </c>
    </row>
    <row r="43">
      <c r="A43" s="35" t="s">
        <v>173</v>
      </c>
      <c r="B43" s="36">
        <v>8.46244302E8</v>
      </c>
    </row>
    <row r="44">
      <c r="A44" s="35" t="s">
        <v>165</v>
      </c>
      <c r="B44" s="36">
        <v>4.96029967E8</v>
      </c>
    </row>
    <row r="45">
      <c r="A45" s="35" t="s">
        <v>183</v>
      </c>
      <c r="B45" s="36">
        <v>4.394332306E9</v>
      </c>
    </row>
    <row r="46">
      <c r="A46" s="35" t="s">
        <v>179</v>
      </c>
      <c r="B46" s="36">
        <v>4.09490388E8</v>
      </c>
    </row>
    <row r="47">
      <c r="A47" s="35" t="s">
        <v>314</v>
      </c>
      <c r="B47" s="36">
        <v>2.17622138E8</v>
      </c>
    </row>
    <row r="48">
      <c r="A48" s="35" t="s">
        <v>156</v>
      </c>
      <c r="B48" s="36">
        <v>8.1838843E7</v>
      </c>
    </row>
    <row r="49">
      <c r="A49" s="35" t="s">
        <v>100</v>
      </c>
      <c r="B49" s="36">
        <v>5.372783971E9</v>
      </c>
    </row>
    <row r="50">
      <c r="A50" s="35" t="s">
        <v>54</v>
      </c>
      <c r="B50" s="36">
        <v>4.801593832E9</v>
      </c>
    </row>
    <row r="51">
      <c r="A51" s="35" t="s">
        <v>110</v>
      </c>
      <c r="B51" s="36">
        <v>1.134986472E9</v>
      </c>
    </row>
    <row r="52">
      <c r="A52" s="35" t="s">
        <v>315</v>
      </c>
      <c r="B52" s="36">
        <v>7.06747385E8</v>
      </c>
    </row>
    <row r="53">
      <c r="A53" s="35" t="s">
        <v>191</v>
      </c>
      <c r="B53" s="36">
        <v>8.53202347E8</v>
      </c>
    </row>
    <row r="54">
      <c r="A54" s="35" t="s">
        <v>185</v>
      </c>
      <c r="B54" s="36">
        <v>9.5132977E8</v>
      </c>
    </row>
    <row r="55">
      <c r="A55" s="35" t="s">
        <v>96</v>
      </c>
      <c r="B55" s="36">
        <v>3.93173139E8</v>
      </c>
    </row>
    <row r="56">
      <c r="A56" s="35" t="s">
        <v>112</v>
      </c>
      <c r="B56" s="36">
        <v>2.867627068E9</v>
      </c>
    </row>
    <row r="57">
      <c r="A57" s="35" t="s">
        <v>124</v>
      </c>
      <c r="B57" s="36">
        <v>3.31799687E8</v>
      </c>
    </row>
    <row r="58">
      <c r="A58" s="35" t="s">
        <v>78</v>
      </c>
      <c r="B58" s="36">
        <v>2.61036182E8</v>
      </c>
    </row>
    <row r="59">
      <c r="A59" s="35" t="s">
        <v>72</v>
      </c>
      <c r="B59" s="36">
        <v>3.76187582E8</v>
      </c>
    </row>
    <row r="60">
      <c r="A60" s="35" t="s">
        <v>52</v>
      </c>
      <c r="B60" s="36">
        <v>2.68505432E8</v>
      </c>
    </row>
    <row r="61">
      <c r="A61" s="35" t="s">
        <v>80</v>
      </c>
      <c r="B61" s="36">
        <v>1.59430826E8</v>
      </c>
    </row>
    <row r="62">
      <c r="A62" s="35" t="s">
        <v>40</v>
      </c>
      <c r="B62" s="36">
        <v>2.379877655E9</v>
      </c>
    </row>
    <row r="63">
      <c r="A63" s="35" t="s">
        <v>48</v>
      </c>
      <c r="B63" s="36">
        <v>4.566445852E9</v>
      </c>
    </row>
    <row r="64">
      <c r="A64" s="35" t="s">
        <v>98</v>
      </c>
      <c r="B64" s="36">
        <v>2.75005663E8</v>
      </c>
    </row>
    <row r="65">
      <c r="A65" s="35" t="s">
        <v>46</v>
      </c>
      <c r="B65" s="36">
        <v>8.00010734E8</v>
      </c>
    </row>
    <row r="66">
      <c r="A66" s="35" t="s">
        <v>160</v>
      </c>
      <c r="B66" s="36">
        <v>3.09729428E8</v>
      </c>
    </row>
    <row r="67">
      <c r="A67" s="35" t="s">
        <v>104</v>
      </c>
      <c r="B67" s="36">
        <v>1.275798515E9</v>
      </c>
    </row>
    <row r="68">
      <c r="A68" s="35" t="s">
        <v>118</v>
      </c>
      <c r="B68" s="36">
        <v>1.193047233E9</v>
      </c>
    </row>
    <row r="69">
      <c r="A69" s="35" t="s">
        <v>56</v>
      </c>
      <c r="B69" s="36">
        <v>1.168230366E9</v>
      </c>
    </row>
    <row r="70">
      <c r="A70" s="35" t="s">
        <v>86</v>
      </c>
      <c r="B70" s="36">
        <v>1.218352541E9</v>
      </c>
    </row>
    <row r="71">
      <c r="A71" s="35" t="s">
        <v>130</v>
      </c>
      <c r="B71" s="36">
        <v>3.40001799E8</v>
      </c>
    </row>
    <row r="72">
      <c r="A72" s="35" t="s">
        <v>316</v>
      </c>
      <c r="B72" s="36">
        <v>3.42918449E8</v>
      </c>
    </row>
    <row r="73">
      <c r="A73" s="35" t="s">
        <v>181</v>
      </c>
      <c r="B73" s="36">
        <v>1.4237733E8</v>
      </c>
    </row>
    <row r="74">
      <c r="A74" s="35" t="s">
        <v>66</v>
      </c>
      <c r="B74" s="36">
        <v>6.00865451E8</v>
      </c>
    </row>
    <row r="75">
      <c r="A75" s="35" t="s">
        <v>142</v>
      </c>
      <c r="B75" s="36">
        <v>1.9575113E8</v>
      </c>
    </row>
    <row r="76">
      <c r="A76" s="35" t="s">
        <v>42</v>
      </c>
      <c r="B76" s="36">
        <v>6.83452836E8</v>
      </c>
    </row>
    <row r="77">
      <c r="A77" s="35" t="s">
        <v>317</v>
      </c>
      <c r="B77" s="36">
        <v>2.18568234E8</v>
      </c>
    </row>
    <row r="78">
      <c r="A78" s="35" t="s">
        <v>84</v>
      </c>
      <c r="B78" s="36">
        <v>4.23091712E8</v>
      </c>
    </row>
    <row r="79">
      <c r="A79" s="35" t="s">
        <v>92</v>
      </c>
      <c r="B79" s="36">
        <v>8.07896814E8</v>
      </c>
    </row>
    <row r="80">
      <c r="A80" s="35" t="s">
        <v>132</v>
      </c>
      <c r="B80" s="36">
        <v>5.14122351E8</v>
      </c>
    </row>
    <row r="81">
      <c r="A81" s="35" t="s">
        <v>150</v>
      </c>
      <c r="B81" s="36">
        <v>3.95801044E8</v>
      </c>
    </row>
    <row r="82">
      <c r="A82" s="35" t="s">
        <v>70</v>
      </c>
      <c r="B82" s="36">
        <v>1.086411192E9</v>
      </c>
    </row>
    <row r="83">
      <c r="A83" s="35" t="s">
        <v>36</v>
      </c>
      <c r="B83" s="36">
        <v>5.15117391E8</v>
      </c>
    </row>
    <row r="84">
      <c r="A84" s="35" t="s">
        <v>50</v>
      </c>
      <c r="B84" s="36">
        <v>4.196924316E9</v>
      </c>
    </row>
    <row r="85">
      <c r="A85" s="35" t="s">
        <v>122</v>
      </c>
      <c r="B85" s="36">
        <v>4.2138333E8</v>
      </c>
    </row>
    <row r="86">
      <c r="A86" s="35" t="s">
        <v>154</v>
      </c>
      <c r="B86" s="36">
        <v>1.114412532E9</v>
      </c>
    </row>
    <row r="87">
      <c r="A87" s="35" t="s">
        <v>140</v>
      </c>
      <c r="B87" s="36">
        <v>1.481593024E9</v>
      </c>
    </row>
    <row r="88">
      <c r="A88" s="35" t="s">
        <v>68</v>
      </c>
      <c r="B88" s="36">
        <v>2.89347914E8</v>
      </c>
    </row>
    <row r="89">
      <c r="A89" s="35" t="s">
        <v>318</v>
      </c>
      <c r="B89" s="36">
        <v>9.6372098181E10</v>
      </c>
    </row>
    <row r="90">
      <c r="A90" s="35" t="s">
        <v>319</v>
      </c>
      <c r="B90" s="37">
        <v>1.70478507866643E7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88"/>
  </cols>
  <sheetData>
    <row r="1">
      <c r="A1" s="38" t="s">
        <v>320</v>
      </c>
      <c r="B1" s="38" t="s">
        <v>321</v>
      </c>
    </row>
    <row r="2">
      <c r="A2" s="10" t="s">
        <v>112</v>
      </c>
      <c r="B2" s="10" t="s">
        <v>256</v>
      </c>
    </row>
    <row r="3">
      <c r="A3" s="39" t="s">
        <v>183</v>
      </c>
      <c r="B3" s="39" t="s">
        <v>301</v>
      </c>
    </row>
    <row r="4">
      <c r="A4" s="10" t="s">
        <v>48</v>
      </c>
      <c r="B4" s="10" t="s">
        <v>203</v>
      </c>
    </row>
    <row r="5">
      <c r="A5" s="39" t="s">
        <v>177</v>
      </c>
      <c r="B5" s="39" t="s">
        <v>295</v>
      </c>
    </row>
    <row r="6">
      <c r="A6" s="10" t="s">
        <v>36</v>
      </c>
      <c r="B6" s="10" t="s">
        <v>199</v>
      </c>
    </row>
    <row r="7">
      <c r="A7" s="39" t="s">
        <v>193</v>
      </c>
      <c r="B7" s="39" t="s">
        <v>307</v>
      </c>
    </row>
    <row r="8">
      <c r="A8" s="10" t="s">
        <v>88</v>
      </c>
      <c r="B8" s="10" t="s">
        <v>242</v>
      </c>
    </row>
    <row r="9">
      <c r="A9" s="39" t="s">
        <v>50</v>
      </c>
      <c r="B9" s="39" t="s">
        <v>211</v>
      </c>
    </row>
    <row r="10">
      <c r="A10" s="10" t="s">
        <v>195</v>
      </c>
      <c r="B10" s="10" t="s">
        <v>309</v>
      </c>
    </row>
    <row r="11">
      <c r="A11" s="39" t="s">
        <v>76</v>
      </c>
      <c r="B11" s="39" t="s">
        <v>233</v>
      </c>
    </row>
    <row r="12">
      <c r="A12" s="10" t="s">
        <v>60</v>
      </c>
      <c r="B12" s="10" t="s">
        <v>220</v>
      </c>
    </row>
    <row r="13">
      <c r="A13" s="39" t="s">
        <v>148</v>
      </c>
      <c r="B13" s="39" t="s">
        <v>278</v>
      </c>
    </row>
    <row r="14">
      <c r="A14" s="10" t="s">
        <v>100</v>
      </c>
      <c r="B14" s="10" t="s">
        <v>250</v>
      </c>
    </row>
    <row r="15">
      <c r="A15" s="39" t="s">
        <v>54</v>
      </c>
      <c r="B15" s="39" t="s">
        <v>214</v>
      </c>
    </row>
    <row r="16">
      <c r="A16" s="10" t="s">
        <v>160</v>
      </c>
      <c r="B16" s="10" t="s">
        <v>283</v>
      </c>
    </row>
    <row r="17">
      <c r="A17" s="39" t="s">
        <v>72</v>
      </c>
      <c r="B17" s="39" t="s">
        <v>229</v>
      </c>
    </row>
    <row r="18">
      <c r="A18" s="10" t="s">
        <v>173</v>
      </c>
      <c r="B18" s="10" t="s">
        <v>292</v>
      </c>
    </row>
    <row r="19">
      <c r="A19" s="39" t="s">
        <v>185</v>
      </c>
      <c r="B19" s="39" t="s">
        <v>302</v>
      </c>
    </row>
    <row r="20">
      <c r="A20" s="10" t="s">
        <v>64</v>
      </c>
      <c r="B20" s="10" t="s">
        <v>223</v>
      </c>
    </row>
    <row r="21">
      <c r="A21" s="39" t="s">
        <v>191</v>
      </c>
      <c r="B21" s="39" t="s">
        <v>305</v>
      </c>
    </row>
    <row r="22">
      <c r="A22" s="10" t="s">
        <v>322</v>
      </c>
      <c r="B22" s="10" t="s">
        <v>323</v>
      </c>
    </row>
    <row r="23">
      <c r="A23" s="39" t="s">
        <v>324</v>
      </c>
      <c r="B23" s="39" t="s">
        <v>325</v>
      </c>
    </row>
    <row r="24">
      <c r="A24" s="10" t="s">
        <v>40</v>
      </c>
      <c r="B24" s="10" t="s">
        <v>203</v>
      </c>
    </row>
    <row r="25">
      <c r="A25" s="39" t="s">
        <v>96</v>
      </c>
      <c r="B25" s="39" t="s">
        <v>247</v>
      </c>
    </row>
    <row r="26">
      <c r="A26" s="10" t="s">
        <v>120</v>
      </c>
      <c r="B26" s="10" t="s">
        <v>260</v>
      </c>
    </row>
    <row r="27">
      <c r="A27" s="39" t="s">
        <v>326</v>
      </c>
      <c r="B27" s="39" t="s">
        <v>327</v>
      </c>
    </row>
    <row r="28">
      <c r="A28" s="10" t="s">
        <v>165</v>
      </c>
      <c r="B28" s="10" t="s">
        <v>286</v>
      </c>
    </row>
    <row r="29">
      <c r="A29" s="39" t="s">
        <v>102</v>
      </c>
      <c r="B29" s="39" t="s">
        <v>251</v>
      </c>
    </row>
    <row r="30">
      <c r="A30" s="10" t="s">
        <v>328</v>
      </c>
      <c r="B30" s="10" t="s">
        <v>329</v>
      </c>
    </row>
    <row r="31">
      <c r="A31" s="39" t="s">
        <v>86</v>
      </c>
      <c r="B31" s="39" t="s">
        <v>240</v>
      </c>
    </row>
    <row r="32">
      <c r="A32" s="10" t="s">
        <v>46</v>
      </c>
      <c r="B32" s="10" t="s">
        <v>209</v>
      </c>
    </row>
    <row r="33">
      <c r="A33" s="39" t="s">
        <v>330</v>
      </c>
      <c r="B33" s="39" t="s">
        <v>260</v>
      </c>
    </row>
    <row r="34">
      <c r="A34" s="10" t="s">
        <v>82</v>
      </c>
      <c r="B34" s="10" t="s">
        <v>237</v>
      </c>
    </row>
    <row r="35">
      <c r="A35" s="39" t="s">
        <v>126</v>
      </c>
      <c r="B35" s="39" t="s">
        <v>263</v>
      </c>
    </row>
    <row r="36">
      <c r="A36" s="10" t="s">
        <v>331</v>
      </c>
      <c r="B36" s="10" t="s">
        <v>332</v>
      </c>
    </row>
    <row r="37">
      <c r="A37" s="39" t="s">
        <v>333</v>
      </c>
      <c r="B37" s="39" t="s">
        <v>334</v>
      </c>
    </row>
    <row r="38">
      <c r="A38" s="10" t="s">
        <v>335</v>
      </c>
      <c r="B38" s="10" t="s">
        <v>336</v>
      </c>
    </row>
    <row r="39">
      <c r="A39" s="39" t="s">
        <v>66</v>
      </c>
      <c r="B39" s="39" t="s">
        <v>224</v>
      </c>
    </row>
    <row r="40">
      <c r="A40" s="10" t="s">
        <v>78</v>
      </c>
      <c r="B40" s="10" t="s">
        <v>234</v>
      </c>
    </row>
    <row r="41">
      <c r="A41" s="39" t="s">
        <v>175</v>
      </c>
      <c r="B41" s="39" t="s">
        <v>294</v>
      </c>
    </row>
    <row r="42">
      <c r="A42" s="10" t="s">
        <v>134</v>
      </c>
      <c r="B42" s="10" t="s">
        <v>270</v>
      </c>
    </row>
    <row r="43">
      <c r="A43" s="39" t="s">
        <v>337</v>
      </c>
      <c r="B43" s="39" t="s">
        <v>338</v>
      </c>
    </row>
    <row r="44">
      <c r="A44" s="10" t="s">
        <v>118</v>
      </c>
      <c r="B44" s="10" t="s">
        <v>259</v>
      </c>
    </row>
    <row r="45">
      <c r="A45" s="39" t="s">
        <v>80</v>
      </c>
      <c r="B45" s="39" t="s">
        <v>236</v>
      </c>
    </row>
    <row r="46">
      <c r="A46" s="10" t="s">
        <v>122</v>
      </c>
      <c r="B46" s="10" t="s">
        <v>261</v>
      </c>
    </row>
    <row r="47">
      <c r="A47" s="39" t="s">
        <v>116</v>
      </c>
      <c r="B47" s="39" t="s">
        <v>258</v>
      </c>
    </row>
    <row r="48">
      <c r="A48" s="10" t="s">
        <v>339</v>
      </c>
      <c r="B48" s="10" t="s">
        <v>340</v>
      </c>
    </row>
    <row r="49">
      <c r="A49" s="39" t="s">
        <v>38</v>
      </c>
      <c r="B49" s="39" t="s">
        <v>201</v>
      </c>
    </row>
    <row r="50">
      <c r="A50" s="10" t="s">
        <v>341</v>
      </c>
      <c r="B50" s="10" t="s">
        <v>342</v>
      </c>
    </row>
    <row r="51">
      <c r="A51" s="39" t="s">
        <v>343</v>
      </c>
      <c r="B51" s="39" t="s">
        <v>344</v>
      </c>
    </row>
    <row r="52">
      <c r="A52" s="10" t="s">
        <v>169</v>
      </c>
      <c r="B52" s="10" t="s">
        <v>289</v>
      </c>
    </row>
    <row r="53">
      <c r="A53" s="39" t="s">
        <v>345</v>
      </c>
      <c r="B53" s="39" t="s">
        <v>346</v>
      </c>
    </row>
    <row r="54">
      <c r="A54" s="10" t="s">
        <v>347</v>
      </c>
      <c r="B54" s="10" t="s">
        <v>334</v>
      </c>
    </row>
    <row r="55">
      <c r="A55" s="39" t="s">
        <v>124</v>
      </c>
      <c r="B55" s="39" t="s">
        <v>262</v>
      </c>
    </row>
    <row r="56">
      <c r="A56" s="10" t="s">
        <v>348</v>
      </c>
      <c r="B56" s="10" t="s">
        <v>349</v>
      </c>
    </row>
    <row r="57">
      <c r="A57" s="39" t="s">
        <v>104</v>
      </c>
      <c r="B57" s="39" t="s">
        <v>252</v>
      </c>
    </row>
    <row r="58">
      <c r="A58" s="10" t="s">
        <v>140</v>
      </c>
      <c r="B58" s="10" t="s">
        <v>273</v>
      </c>
    </row>
    <row r="59">
      <c r="A59" s="39" t="s">
        <v>70</v>
      </c>
      <c r="B59" s="39" t="s">
        <v>227</v>
      </c>
    </row>
    <row r="60">
      <c r="A60" s="10" t="s">
        <v>52</v>
      </c>
      <c r="B60" s="10" t="s">
        <v>212</v>
      </c>
    </row>
    <row r="61">
      <c r="A61" s="39" t="s">
        <v>106</v>
      </c>
      <c r="B61" s="39" t="s">
        <v>253</v>
      </c>
    </row>
    <row r="62">
      <c r="A62" s="10" t="s">
        <v>92</v>
      </c>
      <c r="B62" s="10" t="s">
        <v>245</v>
      </c>
    </row>
    <row r="63">
      <c r="A63" s="39" t="s">
        <v>350</v>
      </c>
      <c r="B63" s="39" t="s">
        <v>351</v>
      </c>
    </row>
    <row r="64">
      <c r="A64" s="10" t="s">
        <v>187</v>
      </c>
      <c r="B64" s="10" t="s">
        <v>303</v>
      </c>
    </row>
    <row r="65">
      <c r="A65" s="39" t="s">
        <v>74</v>
      </c>
      <c r="B65" s="39" t="s">
        <v>231</v>
      </c>
    </row>
    <row r="66">
      <c r="A66" s="10" t="s">
        <v>352</v>
      </c>
      <c r="B66" s="10" t="s">
        <v>353</v>
      </c>
    </row>
    <row r="67">
      <c r="A67" s="39" t="s">
        <v>179</v>
      </c>
      <c r="B67" s="39" t="s">
        <v>297</v>
      </c>
    </row>
    <row r="68">
      <c r="A68" s="10" t="s">
        <v>354</v>
      </c>
      <c r="B68" s="10" t="s">
        <v>355</v>
      </c>
    </row>
    <row r="69">
      <c r="A69" s="39" t="s">
        <v>114</v>
      </c>
      <c r="B69" s="39" t="s">
        <v>233</v>
      </c>
    </row>
    <row r="70">
      <c r="A70" s="10" t="s">
        <v>68</v>
      </c>
      <c r="B70" s="10" t="s">
        <v>225</v>
      </c>
    </row>
    <row r="71">
      <c r="A71" s="39" t="s">
        <v>356</v>
      </c>
      <c r="B71" s="39" t="s">
        <v>357</v>
      </c>
    </row>
    <row r="72">
      <c r="A72" s="10" t="s">
        <v>189</v>
      </c>
      <c r="B72" s="10" t="s">
        <v>304</v>
      </c>
    </row>
    <row r="73">
      <c r="A73" s="39" t="s">
        <v>42</v>
      </c>
      <c r="B73" s="39" t="s">
        <v>205</v>
      </c>
    </row>
    <row r="74">
      <c r="A74" s="10" t="s">
        <v>358</v>
      </c>
      <c r="B74" s="10" t="s">
        <v>359</v>
      </c>
    </row>
    <row r="75">
      <c r="A75" s="39" t="s">
        <v>94</v>
      </c>
      <c r="B75" s="39" t="s">
        <v>246</v>
      </c>
    </row>
    <row r="76">
      <c r="A76" s="10" t="s">
        <v>360</v>
      </c>
      <c r="B76" s="10" t="s">
        <v>361</v>
      </c>
    </row>
    <row r="77">
      <c r="A77" s="39" t="s">
        <v>128</v>
      </c>
      <c r="B77" s="39" t="s">
        <v>265</v>
      </c>
    </row>
    <row r="78">
      <c r="A78" s="10" t="s">
        <v>362</v>
      </c>
      <c r="B78" s="10" t="s">
        <v>363</v>
      </c>
    </row>
    <row r="79">
      <c r="A79" s="39" t="s">
        <v>364</v>
      </c>
      <c r="B79" s="39" t="s">
        <v>365</v>
      </c>
    </row>
    <row r="80">
      <c r="A80" s="10" t="s">
        <v>366</v>
      </c>
      <c r="B80" s="10" t="s">
        <v>367</v>
      </c>
    </row>
    <row r="81">
      <c r="A81" s="39" t="s">
        <v>368</v>
      </c>
      <c r="B81" s="39" t="s">
        <v>369</v>
      </c>
    </row>
    <row r="82">
      <c r="A82" s="10" t="s">
        <v>90</v>
      </c>
      <c r="B82" s="10" t="s">
        <v>244</v>
      </c>
    </row>
    <row r="83">
      <c r="A83" s="39" t="s">
        <v>62</v>
      </c>
      <c r="B83" s="39" t="s">
        <v>222</v>
      </c>
    </row>
    <row r="84">
      <c r="A84" s="10" t="s">
        <v>171</v>
      </c>
      <c r="B84" s="10" t="s">
        <v>290</v>
      </c>
    </row>
    <row r="85">
      <c r="A85" s="39" t="s">
        <v>158</v>
      </c>
      <c r="B85" s="39" t="s">
        <v>271</v>
      </c>
    </row>
    <row r="86">
      <c r="A86" s="10" t="s">
        <v>56</v>
      </c>
      <c r="B86" s="10" t="s">
        <v>216</v>
      </c>
    </row>
    <row r="87">
      <c r="A87" s="39" t="s">
        <v>181</v>
      </c>
      <c r="B87" s="39" t="s">
        <v>299</v>
      </c>
    </row>
    <row r="88">
      <c r="A88" s="10" t="s">
        <v>370</v>
      </c>
      <c r="B88" s="10" t="s">
        <v>371</v>
      </c>
    </row>
    <row r="89">
      <c r="A89" s="39" t="s">
        <v>372</v>
      </c>
      <c r="B89" s="39" t="s">
        <v>373</v>
      </c>
    </row>
    <row r="90">
      <c r="A90" s="10" t="s">
        <v>154</v>
      </c>
      <c r="B90" s="10" t="s">
        <v>281</v>
      </c>
    </row>
    <row r="91">
      <c r="A91" s="39" t="s">
        <v>374</v>
      </c>
      <c r="B91" s="39" t="s">
        <v>375</v>
      </c>
    </row>
    <row r="92">
      <c r="A92" s="10" t="s">
        <v>138</v>
      </c>
      <c r="B92" s="10" t="s">
        <v>272</v>
      </c>
    </row>
    <row r="93">
      <c r="A93" s="39" t="s">
        <v>98</v>
      </c>
      <c r="B93" s="39" t="s">
        <v>249</v>
      </c>
    </row>
    <row r="94">
      <c r="A94" s="10" t="s">
        <v>376</v>
      </c>
      <c r="B94" s="10" t="s">
        <v>377</v>
      </c>
    </row>
    <row r="95">
      <c r="A95" s="39" t="s">
        <v>146</v>
      </c>
      <c r="B95" s="39" t="s">
        <v>276</v>
      </c>
    </row>
    <row r="96">
      <c r="A96" s="10" t="s">
        <v>108</v>
      </c>
      <c r="B96" s="10" t="s">
        <v>254</v>
      </c>
    </row>
    <row r="97">
      <c r="A97" s="39" t="s">
        <v>58</v>
      </c>
      <c r="B97" s="39" t="s">
        <v>218</v>
      </c>
    </row>
    <row r="98">
      <c r="A98" s="10" t="s">
        <v>378</v>
      </c>
      <c r="B98" s="10" t="s">
        <v>379</v>
      </c>
    </row>
    <row r="99">
      <c r="A99" s="39" t="s">
        <v>164</v>
      </c>
      <c r="B99" s="39" t="s">
        <v>285</v>
      </c>
    </row>
    <row r="100">
      <c r="A100" s="10" t="s">
        <v>380</v>
      </c>
      <c r="B100" s="10" t="s">
        <v>381</v>
      </c>
    </row>
    <row r="101">
      <c r="A101" s="39" t="s">
        <v>382</v>
      </c>
      <c r="B101" s="39" t="s">
        <v>383</v>
      </c>
    </row>
    <row r="102">
      <c r="A102" s="10" t="s">
        <v>44</v>
      </c>
      <c r="B102" s="10" t="s">
        <v>207</v>
      </c>
    </row>
    <row r="103">
      <c r="A103" s="39" t="s">
        <v>384</v>
      </c>
      <c r="B103" s="39" t="s">
        <v>385</v>
      </c>
    </row>
    <row r="104">
      <c r="A104" s="10" t="s">
        <v>386</v>
      </c>
      <c r="B104" s="10" t="s">
        <v>199</v>
      </c>
    </row>
    <row r="105">
      <c r="A105" s="39" t="s">
        <v>156</v>
      </c>
      <c r="B105" s="39" t="s">
        <v>282</v>
      </c>
    </row>
    <row r="106">
      <c r="A106" s="10" t="s">
        <v>387</v>
      </c>
      <c r="B106" s="10" t="s">
        <v>388</v>
      </c>
    </row>
    <row r="107">
      <c r="A107" s="39" t="s">
        <v>389</v>
      </c>
      <c r="B107" s="39" t="s">
        <v>390</v>
      </c>
    </row>
    <row r="108">
      <c r="A108" s="10" t="s">
        <v>110</v>
      </c>
      <c r="B108" s="10" t="s">
        <v>255</v>
      </c>
    </row>
    <row r="109">
      <c r="A109" s="39" t="s">
        <v>130</v>
      </c>
      <c r="B109" s="39" t="s">
        <v>267</v>
      </c>
    </row>
    <row r="110">
      <c r="A110" s="10" t="s">
        <v>391</v>
      </c>
      <c r="B110" s="10" t="s">
        <v>392</v>
      </c>
    </row>
    <row r="111">
      <c r="A111" s="39" t="s">
        <v>167</v>
      </c>
      <c r="B111" s="39" t="s">
        <v>287</v>
      </c>
    </row>
    <row r="112">
      <c r="A112" s="10" t="s">
        <v>142</v>
      </c>
      <c r="B112" s="10" t="s">
        <v>274</v>
      </c>
    </row>
    <row r="113">
      <c r="A113" s="39" t="s">
        <v>393</v>
      </c>
      <c r="B113" s="39" t="s">
        <v>394</v>
      </c>
    </row>
    <row r="114">
      <c r="A114" s="10" t="s">
        <v>395</v>
      </c>
      <c r="B114" s="10" t="s">
        <v>396</v>
      </c>
    </row>
    <row r="115">
      <c r="A115" s="39" t="s">
        <v>144</v>
      </c>
      <c r="B115" s="39" t="s">
        <v>144</v>
      </c>
    </row>
    <row r="116">
      <c r="A116" s="10" t="s">
        <v>162</v>
      </c>
      <c r="B116" s="10" t="s">
        <v>284</v>
      </c>
    </row>
    <row r="117">
      <c r="A117" s="39" t="s">
        <v>132</v>
      </c>
      <c r="B117" s="39" t="s">
        <v>269</v>
      </c>
    </row>
    <row r="118">
      <c r="A118" s="10" t="s">
        <v>397</v>
      </c>
      <c r="B118" s="10" t="s">
        <v>398</v>
      </c>
    </row>
    <row r="119">
      <c r="A119" s="39" t="s">
        <v>399</v>
      </c>
      <c r="B119" s="39" t="s">
        <v>400</v>
      </c>
    </row>
    <row r="120">
      <c r="A120" s="10" t="s">
        <v>401</v>
      </c>
      <c r="B120" s="10" t="s">
        <v>402</v>
      </c>
    </row>
    <row r="121">
      <c r="A121" s="39" t="s">
        <v>84</v>
      </c>
      <c r="B121" s="39" t="s">
        <v>238</v>
      </c>
    </row>
    <row r="122">
      <c r="A122" s="10" t="s">
        <v>403</v>
      </c>
      <c r="B122" s="10" t="s">
        <v>404</v>
      </c>
    </row>
    <row r="123">
      <c r="A123" s="39" t="s">
        <v>405</v>
      </c>
      <c r="B123" s="39" t="s">
        <v>406</v>
      </c>
    </row>
    <row r="124">
      <c r="A124" s="10" t="s">
        <v>407</v>
      </c>
      <c r="B124" s="10" t="s">
        <v>408</v>
      </c>
    </row>
    <row r="125">
      <c r="A125" s="39" t="s">
        <v>409</v>
      </c>
      <c r="B125" s="39" t="s">
        <v>410</v>
      </c>
    </row>
    <row r="126">
      <c r="A126" s="10" t="s">
        <v>411</v>
      </c>
      <c r="B126" s="10" t="s">
        <v>412</v>
      </c>
    </row>
    <row r="127">
      <c r="A127" s="39" t="s">
        <v>413</v>
      </c>
      <c r="B127" s="39" t="s">
        <v>414</v>
      </c>
    </row>
    <row r="128">
      <c r="A128" s="10" t="s">
        <v>415</v>
      </c>
      <c r="B128" s="10" t="s">
        <v>416</v>
      </c>
    </row>
    <row r="129">
      <c r="A129" s="39" t="s">
        <v>417</v>
      </c>
      <c r="B129" s="39" t="s">
        <v>418</v>
      </c>
    </row>
    <row r="130">
      <c r="A130" s="10" t="s">
        <v>150</v>
      </c>
      <c r="B130" s="10" t="s">
        <v>279</v>
      </c>
    </row>
    <row r="131">
      <c r="A131" s="39" t="s">
        <v>152</v>
      </c>
      <c r="B131" s="39" t="s">
        <v>280</v>
      </c>
    </row>
    <row r="132">
      <c r="A132" s="10" t="s">
        <v>419</v>
      </c>
      <c r="B132" s="10" t="s">
        <v>420</v>
      </c>
    </row>
    <row r="133">
      <c r="A133" s="39" t="s">
        <v>421</v>
      </c>
      <c r="B133" s="39" t="s">
        <v>422</v>
      </c>
    </row>
    <row r="134">
      <c r="A134" s="10" t="s">
        <v>423</v>
      </c>
      <c r="B134" s="10" t="s">
        <v>424</v>
      </c>
    </row>
    <row r="135">
      <c r="A135" s="39" t="s">
        <v>425</v>
      </c>
      <c r="B135" s="39" t="s">
        <v>426</v>
      </c>
    </row>
    <row r="136">
      <c r="A136" s="10" t="s">
        <v>427</v>
      </c>
      <c r="B136" s="10" t="s">
        <v>428</v>
      </c>
    </row>
    <row r="137">
      <c r="A137" s="39" t="s">
        <v>429</v>
      </c>
      <c r="B137" s="39" t="s">
        <v>430</v>
      </c>
    </row>
    <row r="138">
      <c r="A138" s="10" t="s">
        <v>431</v>
      </c>
      <c r="B138" s="10" t="s">
        <v>432</v>
      </c>
    </row>
    <row r="139">
      <c r="A139" s="39" t="s">
        <v>433</v>
      </c>
      <c r="B139" s="39" t="s">
        <v>434</v>
      </c>
    </row>
    <row r="140">
      <c r="A140" s="10" t="s">
        <v>435</v>
      </c>
      <c r="B140" s="10" t="s">
        <v>436</v>
      </c>
    </row>
    <row r="141">
      <c r="A141" s="39" t="s">
        <v>437</v>
      </c>
      <c r="B141" s="39" t="s">
        <v>438</v>
      </c>
    </row>
    <row r="142">
      <c r="A142" s="10" t="s">
        <v>439</v>
      </c>
      <c r="B142" s="10" t="s">
        <v>440</v>
      </c>
    </row>
    <row r="143">
      <c r="A143" s="39" t="s">
        <v>441</v>
      </c>
      <c r="B143" s="39" t="s">
        <v>442</v>
      </c>
    </row>
    <row r="144">
      <c r="A144" s="10" t="s">
        <v>443</v>
      </c>
      <c r="B144" s="10" t="s">
        <v>444</v>
      </c>
    </row>
    <row r="145">
      <c r="A145" s="39" t="s">
        <v>445</v>
      </c>
      <c r="B145" s="39" t="s">
        <v>445</v>
      </c>
    </row>
    <row r="146">
      <c r="A146" s="10" t="s">
        <v>446</v>
      </c>
      <c r="B146" s="10" t="s">
        <v>447</v>
      </c>
    </row>
    <row r="147">
      <c r="A147" s="39" t="s">
        <v>448</v>
      </c>
      <c r="B147" s="39" t="s">
        <v>449</v>
      </c>
    </row>
    <row r="148">
      <c r="A148" s="10" t="s">
        <v>450</v>
      </c>
      <c r="B148" s="10" t="s">
        <v>451</v>
      </c>
    </row>
    <row r="149">
      <c r="A149" s="39" t="s">
        <v>452</v>
      </c>
      <c r="B149" s="39" t="s">
        <v>214</v>
      </c>
    </row>
    <row r="150">
      <c r="A150" s="10" t="s">
        <v>453</v>
      </c>
      <c r="B150" s="10" t="s">
        <v>454</v>
      </c>
    </row>
    <row r="151">
      <c r="A151" s="39" t="s">
        <v>455</v>
      </c>
      <c r="B151" s="39" t="s">
        <v>456</v>
      </c>
    </row>
    <row r="152">
      <c r="A152" s="10" t="s">
        <v>457</v>
      </c>
      <c r="B152" s="10" t="s">
        <v>458</v>
      </c>
    </row>
    <row r="153">
      <c r="A153" s="39" t="s">
        <v>459</v>
      </c>
      <c r="B153" s="39" t="s">
        <v>460</v>
      </c>
    </row>
    <row r="154">
      <c r="A154" s="10" t="s">
        <v>461</v>
      </c>
      <c r="B154" s="10" t="s">
        <v>462</v>
      </c>
    </row>
    <row r="155">
      <c r="A155" s="39" t="s">
        <v>463</v>
      </c>
      <c r="B155" s="39" t="s">
        <v>464</v>
      </c>
    </row>
    <row r="156">
      <c r="A156" s="10" t="s">
        <v>465</v>
      </c>
      <c r="B156" s="10" t="s">
        <v>466</v>
      </c>
    </row>
    <row r="157">
      <c r="A157" s="39" t="s">
        <v>467</v>
      </c>
      <c r="B157" s="39" t="s">
        <v>468</v>
      </c>
    </row>
    <row r="158">
      <c r="A158" s="10" t="s">
        <v>469</v>
      </c>
      <c r="B158" s="10" t="s">
        <v>470</v>
      </c>
    </row>
    <row r="159">
      <c r="A159" s="39" t="s">
        <v>471</v>
      </c>
      <c r="B159" s="39" t="s">
        <v>472</v>
      </c>
    </row>
    <row r="160">
      <c r="A160" s="10" t="s">
        <v>473</v>
      </c>
      <c r="B160" s="10" t="s">
        <v>474</v>
      </c>
    </row>
    <row r="161">
      <c r="A161" s="39" t="s">
        <v>475</v>
      </c>
      <c r="B161" s="39" t="s">
        <v>476</v>
      </c>
    </row>
    <row r="162">
      <c r="A162" s="10" t="s">
        <v>477</v>
      </c>
      <c r="B162" s="10" t="s">
        <v>478</v>
      </c>
    </row>
    <row r="163">
      <c r="A163" s="39" t="s">
        <v>479</v>
      </c>
      <c r="B163" s="39" t="s">
        <v>480</v>
      </c>
    </row>
    <row r="164">
      <c r="A164" s="10" t="s">
        <v>481</v>
      </c>
      <c r="B164" s="10" t="s">
        <v>482</v>
      </c>
    </row>
    <row r="165">
      <c r="A165" s="39" t="s">
        <v>483</v>
      </c>
      <c r="B165" s="39" t="s">
        <v>484</v>
      </c>
    </row>
    <row r="166">
      <c r="A166" s="10" t="s">
        <v>485</v>
      </c>
      <c r="B166" s="10" t="s">
        <v>486</v>
      </c>
    </row>
    <row r="167">
      <c r="A167" s="39" t="s">
        <v>487</v>
      </c>
      <c r="B167" s="39" t="s">
        <v>488</v>
      </c>
    </row>
    <row r="168">
      <c r="A168" s="10" t="s">
        <v>489</v>
      </c>
      <c r="B168" s="10" t="s">
        <v>490</v>
      </c>
    </row>
    <row r="169">
      <c r="A169" s="39" t="s">
        <v>491</v>
      </c>
      <c r="B169" s="39" t="s">
        <v>492</v>
      </c>
    </row>
    <row r="170">
      <c r="A170" s="10" t="s">
        <v>493</v>
      </c>
      <c r="B170" s="10" t="s">
        <v>494</v>
      </c>
    </row>
    <row r="171">
      <c r="A171" s="39" t="s">
        <v>495</v>
      </c>
      <c r="B171" s="39" t="s">
        <v>496</v>
      </c>
    </row>
    <row r="172">
      <c r="A172" s="10" t="s">
        <v>497</v>
      </c>
      <c r="B172" s="10" t="s">
        <v>270</v>
      </c>
    </row>
    <row r="173">
      <c r="A173" s="39" t="s">
        <v>136</v>
      </c>
      <c r="B173" s="39" t="s">
        <v>271</v>
      </c>
    </row>
    <row r="174">
      <c r="A174" s="10" t="s">
        <v>498</v>
      </c>
      <c r="B174" s="10" t="s">
        <v>499</v>
      </c>
    </row>
    <row r="175">
      <c r="A175" s="39" t="s">
        <v>500</v>
      </c>
      <c r="B175" s="39" t="s">
        <v>501</v>
      </c>
    </row>
    <row r="176">
      <c r="A176" s="10" t="s">
        <v>502</v>
      </c>
      <c r="B176" s="10" t="s">
        <v>503</v>
      </c>
    </row>
    <row r="177">
      <c r="A177" s="39" t="s">
        <v>504</v>
      </c>
      <c r="B177" s="39" t="s">
        <v>505</v>
      </c>
    </row>
    <row r="178">
      <c r="A178" s="10" t="s">
        <v>506</v>
      </c>
      <c r="B178" s="10" t="s">
        <v>507</v>
      </c>
    </row>
    <row r="179">
      <c r="A179" s="39" t="s">
        <v>508</v>
      </c>
      <c r="B179" s="39" t="s">
        <v>509</v>
      </c>
    </row>
    <row r="180">
      <c r="A180" s="10" t="s">
        <v>510</v>
      </c>
      <c r="B180" s="10" t="s">
        <v>392</v>
      </c>
    </row>
    <row r="181">
      <c r="A181" s="39" t="s">
        <v>511</v>
      </c>
      <c r="B181" s="39" t="s">
        <v>512</v>
      </c>
    </row>
    <row r="182">
      <c r="A182" s="10" t="s">
        <v>513</v>
      </c>
      <c r="B182" s="10" t="s">
        <v>514</v>
      </c>
    </row>
    <row r="183">
      <c r="A183" s="39" t="s">
        <v>515</v>
      </c>
      <c r="B183" s="39" t="s">
        <v>516</v>
      </c>
    </row>
    <row r="184">
      <c r="A184" s="10" t="s">
        <v>517</v>
      </c>
      <c r="B184" s="10" t="s">
        <v>518</v>
      </c>
    </row>
    <row r="185">
      <c r="A185" s="39" t="s">
        <v>519</v>
      </c>
      <c r="B185" s="39" t="s">
        <v>520</v>
      </c>
    </row>
    <row r="186">
      <c r="A186" s="10" t="s">
        <v>521</v>
      </c>
      <c r="B186" s="10" t="s">
        <v>522</v>
      </c>
    </row>
    <row r="187">
      <c r="A187" s="39" t="s">
        <v>523</v>
      </c>
      <c r="B187" s="39" t="s">
        <v>524</v>
      </c>
    </row>
    <row r="188">
      <c r="A188" s="10" t="s">
        <v>525</v>
      </c>
      <c r="B188" s="10" t="s">
        <v>526</v>
      </c>
    </row>
    <row r="189">
      <c r="A189" s="39" t="s">
        <v>527</v>
      </c>
      <c r="B189" s="39" t="s">
        <v>528</v>
      </c>
    </row>
    <row r="190">
      <c r="A190" s="10" t="s">
        <v>529</v>
      </c>
      <c r="B190" s="10" t="s">
        <v>530</v>
      </c>
    </row>
    <row r="191">
      <c r="A191" s="39" t="s">
        <v>531</v>
      </c>
      <c r="B191" s="39" t="s">
        <v>410</v>
      </c>
    </row>
    <row r="192">
      <c r="A192" s="10" t="s">
        <v>532</v>
      </c>
      <c r="B192" s="10" t="s">
        <v>442</v>
      </c>
    </row>
    <row r="193">
      <c r="A193" s="39" t="s">
        <v>533</v>
      </c>
      <c r="B193" s="39" t="s">
        <v>534</v>
      </c>
    </row>
    <row r="194">
      <c r="A194" s="10" t="s">
        <v>535</v>
      </c>
      <c r="B194" s="10" t="s">
        <v>536</v>
      </c>
    </row>
    <row r="195">
      <c r="A195" s="39" t="s">
        <v>537</v>
      </c>
      <c r="B195" s="39" t="s">
        <v>538</v>
      </c>
    </row>
    <row r="196">
      <c r="A196" s="10" t="s">
        <v>539</v>
      </c>
      <c r="B196" s="10" t="s">
        <v>540</v>
      </c>
    </row>
    <row r="197">
      <c r="A197" s="39" t="s">
        <v>541</v>
      </c>
      <c r="B197" s="39" t="s">
        <v>542</v>
      </c>
    </row>
    <row r="198">
      <c r="A198" s="10" t="s">
        <v>543</v>
      </c>
      <c r="B198" s="10" t="s">
        <v>544</v>
      </c>
    </row>
    <row r="199">
      <c r="A199" s="39" t="s">
        <v>545</v>
      </c>
      <c r="B199" s="39" t="s">
        <v>546</v>
      </c>
    </row>
    <row r="200">
      <c r="A200" s="10" t="s">
        <v>547</v>
      </c>
      <c r="B200" s="10" t="s">
        <v>548</v>
      </c>
    </row>
    <row r="201">
      <c r="A201" s="39" t="s">
        <v>549</v>
      </c>
      <c r="B201" s="39" t="s">
        <v>550</v>
      </c>
    </row>
    <row r="202">
      <c r="A202" s="10" t="s">
        <v>551</v>
      </c>
      <c r="B202" s="10" t="s">
        <v>552</v>
      </c>
    </row>
    <row r="203">
      <c r="A203" s="39" t="s">
        <v>553</v>
      </c>
      <c r="B203" s="39" t="s">
        <v>554</v>
      </c>
    </row>
    <row r="204">
      <c r="A204" s="10" t="s">
        <v>555</v>
      </c>
      <c r="B204" s="10" t="s">
        <v>556</v>
      </c>
    </row>
    <row r="205">
      <c r="A205" s="39" t="s">
        <v>557</v>
      </c>
      <c r="B205" s="39" t="s">
        <v>558</v>
      </c>
    </row>
    <row r="206">
      <c r="A206" s="10" t="s">
        <v>559</v>
      </c>
      <c r="B206" s="10" t="s">
        <v>560</v>
      </c>
    </row>
    <row r="207">
      <c r="A207" s="39" t="s">
        <v>561</v>
      </c>
      <c r="B207" s="39" t="s">
        <v>562</v>
      </c>
    </row>
    <row r="208">
      <c r="A208" s="10" t="s">
        <v>563</v>
      </c>
      <c r="B208" s="10" t="s">
        <v>323</v>
      </c>
    </row>
    <row r="209">
      <c r="A209" s="39" t="s">
        <v>564</v>
      </c>
      <c r="B209" s="39" t="s">
        <v>565</v>
      </c>
    </row>
    <row r="210">
      <c r="A210" s="10" t="s">
        <v>566</v>
      </c>
      <c r="B210" s="10" t="s">
        <v>567</v>
      </c>
    </row>
    <row r="211">
      <c r="A211" s="39" t="s">
        <v>568</v>
      </c>
      <c r="B211" s="39" t="s">
        <v>569</v>
      </c>
    </row>
    <row r="212">
      <c r="A212" s="10" t="s">
        <v>570</v>
      </c>
      <c r="B212" s="10" t="s">
        <v>571</v>
      </c>
    </row>
    <row r="213">
      <c r="A213" s="39" t="s">
        <v>572</v>
      </c>
      <c r="B213" s="39" t="s">
        <v>573</v>
      </c>
    </row>
    <row r="214">
      <c r="A214" s="10" t="s">
        <v>574</v>
      </c>
      <c r="B214" s="10" t="s">
        <v>575</v>
      </c>
    </row>
    <row r="215">
      <c r="A215" s="39" t="s">
        <v>576</v>
      </c>
      <c r="B215" s="39" t="s">
        <v>340</v>
      </c>
    </row>
    <row r="216">
      <c r="A216" s="10" t="s">
        <v>577</v>
      </c>
      <c r="B216" s="10" t="s">
        <v>578</v>
      </c>
    </row>
    <row r="217">
      <c r="A217" s="39" t="s">
        <v>579</v>
      </c>
      <c r="B217" s="39" t="s">
        <v>580</v>
      </c>
    </row>
    <row r="218">
      <c r="A218" s="10" t="s">
        <v>581</v>
      </c>
      <c r="B218" s="10" t="s">
        <v>582</v>
      </c>
    </row>
    <row r="219">
      <c r="A219" s="39" t="s">
        <v>583</v>
      </c>
      <c r="B219" s="39" t="s">
        <v>250</v>
      </c>
    </row>
    <row r="220">
      <c r="A220" s="10" t="s">
        <v>584</v>
      </c>
      <c r="B220" s="10" t="s">
        <v>585</v>
      </c>
    </row>
    <row r="221">
      <c r="A221" s="39" t="s">
        <v>586</v>
      </c>
      <c r="B221" s="39" t="s">
        <v>587</v>
      </c>
    </row>
    <row r="222">
      <c r="A222" s="10" t="s">
        <v>586</v>
      </c>
      <c r="B222" s="10" t="s">
        <v>588</v>
      </c>
    </row>
    <row r="223">
      <c r="A223" s="39" t="s">
        <v>589</v>
      </c>
      <c r="B223" s="39" t="s">
        <v>590</v>
      </c>
    </row>
    <row r="224">
      <c r="A224" s="10" t="s">
        <v>591</v>
      </c>
      <c r="B224" s="10" t="s">
        <v>592</v>
      </c>
    </row>
    <row r="225">
      <c r="A225" s="39" t="s">
        <v>593</v>
      </c>
      <c r="B225" s="39" t="s">
        <v>594</v>
      </c>
    </row>
    <row r="226">
      <c r="A226" s="10" t="s">
        <v>595</v>
      </c>
      <c r="B226" s="10" t="s">
        <v>596</v>
      </c>
    </row>
    <row r="227">
      <c r="A227" s="39" t="s">
        <v>597</v>
      </c>
      <c r="B227" s="39" t="s">
        <v>598</v>
      </c>
    </row>
    <row r="228">
      <c r="A228" s="10" t="s">
        <v>599</v>
      </c>
      <c r="B228" s="10" t="s">
        <v>600</v>
      </c>
    </row>
    <row r="229">
      <c r="A229" s="39" t="s">
        <v>601</v>
      </c>
      <c r="B229" s="39" t="s">
        <v>602</v>
      </c>
    </row>
    <row r="230">
      <c r="A230" s="10" t="s">
        <v>603</v>
      </c>
      <c r="B230" s="10" t="s">
        <v>600</v>
      </c>
    </row>
    <row r="231">
      <c r="A231" s="39" t="s">
        <v>604</v>
      </c>
      <c r="B231" s="39" t="s">
        <v>605</v>
      </c>
    </row>
    <row r="232">
      <c r="A232" s="10" t="s">
        <v>606</v>
      </c>
      <c r="B232" s="10" t="s">
        <v>607</v>
      </c>
    </row>
    <row r="233">
      <c r="A233" s="39" t="s">
        <v>608</v>
      </c>
      <c r="B233" s="39" t="s">
        <v>609</v>
      </c>
    </row>
    <row r="234">
      <c r="A234" s="10" t="s">
        <v>610</v>
      </c>
      <c r="B234" s="10" t="s">
        <v>611</v>
      </c>
    </row>
    <row r="235">
      <c r="A235" s="39" t="s">
        <v>612</v>
      </c>
      <c r="B235" s="39" t="s">
        <v>573</v>
      </c>
    </row>
    <row r="236">
      <c r="A236" s="10" t="s">
        <v>613</v>
      </c>
      <c r="B236" s="10" t="s">
        <v>614</v>
      </c>
    </row>
    <row r="237">
      <c r="A237" s="39" t="s">
        <v>615</v>
      </c>
      <c r="B237" s="39" t="s">
        <v>616</v>
      </c>
    </row>
    <row r="238">
      <c r="A238" s="10" t="s">
        <v>617</v>
      </c>
      <c r="B238" s="10" t="s">
        <v>258</v>
      </c>
    </row>
    <row r="239">
      <c r="A239" s="39" t="s">
        <v>618</v>
      </c>
      <c r="B239" s="39" t="s">
        <v>619</v>
      </c>
    </row>
    <row r="240">
      <c r="A240" s="10" t="s">
        <v>620</v>
      </c>
      <c r="B240" s="10" t="s">
        <v>590</v>
      </c>
    </row>
    <row r="241">
      <c r="A241" s="39" t="s">
        <v>621</v>
      </c>
      <c r="B241" s="39" t="s">
        <v>622</v>
      </c>
    </row>
    <row r="242">
      <c r="A242" s="10" t="s">
        <v>623</v>
      </c>
      <c r="B242" s="10" t="s">
        <v>624</v>
      </c>
    </row>
    <row r="243">
      <c r="A243" s="39" t="s">
        <v>625</v>
      </c>
      <c r="B243" s="39" t="s">
        <v>626</v>
      </c>
    </row>
    <row r="244">
      <c r="A244" s="10" t="s">
        <v>627</v>
      </c>
      <c r="B244" s="10" t="s">
        <v>253</v>
      </c>
    </row>
    <row r="245">
      <c r="A245" s="39" t="s">
        <v>628</v>
      </c>
      <c r="B245" s="39" t="s">
        <v>629</v>
      </c>
    </row>
    <row r="246">
      <c r="A246" s="10" t="s">
        <v>630</v>
      </c>
      <c r="B246" s="10" t="s">
        <v>544</v>
      </c>
    </row>
    <row r="247">
      <c r="A247" s="39" t="s">
        <v>631</v>
      </c>
      <c r="B247" s="39" t="s">
        <v>632</v>
      </c>
    </row>
    <row r="248">
      <c r="A248" s="10" t="s">
        <v>633</v>
      </c>
      <c r="B248" s="10" t="s">
        <v>634</v>
      </c>
    </row>
    <row r="249">
      <c r="A249" s="39" t="s">
        <v>635</v>
      </c>
      <c r="B249" s="39" t="s">
        <v>636</v>
      </c>
    </row>
    <row r="250">
      <c r="A250" s="10" t="s">
        <v>637</v>
      </c>
      <c r="B250" s="10" t="s">
        <v>638</v>
      </c>
    </row>
    <row r="251">
      <c r="A251" s="39" t="s">
        <v>639</v>
      </c>
      <c r="B251" s="39" t="s">
        <v>640</v>
      </c>
    </row>
    <row r="252">
      <c r="A252" s="10" t="s">
        <v>641</v>
      </c>
      <c r="B252" s="10" t="s">
        <v>396</v>
      </c>
    </row>
    <row r="253">
      <c r="A253" s="39" t="s">
        <v>642</v>
      </c>
      <c r="B253" s="39" t="s">
        <v>643</v>
      </c>
    </row>
    <row r="254">
      <c r="A254" s="10" t="s">
        <v>644</v>
      </c>
      <c r="B254" s="10" t="s">
        <v>645</v>
      </c>
    </row>
    <row r="255">
      <c r="A255" s="39" t="s">
        <v>646</v>
      </c>
      <c r="B255" s="39" t="s">
        <v>647</v>
      </c>
    </row>
    <row r="256">
      <c r="A256" s="10" t="s">
        <v>648</v>
      </c>
      <c r="B256" s="10" t="s">
        <v>246</v>
      </c>
    </row>
    <row r="257">
      <c r="A257" s="39" t="s">
        <v>649</v>
      </c>
      <c r="B257" s="39" t="s">
        <v>218</v>
      </c>
    </row>
    <row r="258">
      <c r="A258" s="10" t="s">
        <v>650</v>
      </c>
      <c r="B258" s="10" t="s">
        <v>651</v>
      </c>
    </row>
    <row r="259">
      <c r="A259" s="39" t="s">
        <v>652</v>
      </c>
      <c r="B259" s="39" t="s">
        <v>653</v>
      </c>
    </row>
    <row r="260">
      <c r="A260" s="10" t="s">
        <v>654</v>
      </c>
      <c r="B260" s="10" t="s">
        <v>645</v>
      </c>
    </row>
    <row r="261">
      <c r="A261" s="39" t="s">
        <v>655</v>
      </c>
      <c r="B261" s="39" t="s">
        <v>656</v>
      </c>
    </row>
    <row r="262">
      <c r="A262" s="10" t="s">
        <v>657</v>
      </c>
      <c r="B262" s="10" t="s">
        <v>658</v>
      </c>
    </row>
    <row r="263">
      <c r="A263" s="39" t="s">
        <v>659</v>
      </c>
      <c r="B263" s="39" t="s">
        <v>660</v>
      </c>
    </row>
    <row r="264">
      <c r="A264" s="10" t="s">
        <v>661</v>
      </c>
      <c r="B264" s="10" t="s">
        <v>662</v>
      </c>
    </row>
    <row r="265">
      <c r="A265" s="39" t="s">
        <v>663</v>
      </c>
      <c r="B265" s="39" t="s">
        <v>664</v>
      </c>
    </row>
    <row r="266">
      <c r="A266" s="10" t="s">
        <v>665</v>
      </c>
      <c r="B266" s="10" t="s">
        <v>666</v>
      </c>
    </row>
    <row r="267">
      <c r="A267" s="39" t="s">
        <v>667</v>
      </c>
      <c r="B267" s="39" t="s">
        <v>668</v>
      </c>
    </row>
    <row r="268">
      <c r="A268" s="10" t="s">
        <v>669</v>
      </c>
      <c r="B268" s="10" t="s">
        <v>569</v>
      </c>
    </row>
    <row r="269">
      <c r="A269" s="39" t="s">
        <v>670</v>
      </c>
      <c r="B269" s="39" t="s">
        <v>671</v>
      </c>
    </row>
    <row r="270">
      <c r="A270" s="10" t="s">
        <v>672</v>
      </c>
      <c r="B270" s="10" t="s">
        <v>671</v>
      </c>
    </row>
    <row r="271">
      <c r="A271" s="39" t="s">
        <v>673</v>
      </c>
      <c r="B271" s="39" t="s">
        <v>674</v>
      </c>
    </row>
    <row r="272">
      <c r="A272" s="10" t="s">
        <v>675</v>
      </c>
      <c r="B272" s="10" t="s">
        <v>676</v>
      </c>
    </row>
    <row r="273">
      <c r="A273" s="39" t="s">
        <v>677</v>
      </c>
      <c r="B273" s="39" t="s">
        <v>678</v>
      </c>
    </row>
    <row r="274">
      <c r="A274" s="10" t="s">
        <v>679</v>
      </c>
      <c r="B274" s="10" t="s">
        <v>680</v>
      </c>
    </row>
    <row r="275">
      <c r="A275" s="39" t="s">
        <v>681</v>
      </c>
      <c r="B275" s="39" t="s">
        <v>682</v>
      </c>
    </row>
    <row r="276">
      <c r="A276" s="10" t="s">
        <v>683</v>
      </c>
      <c r="B276" s="10" t="s">
        <v>684</v>
      </c>
    </row>
    <row r="277">
      <c r="A277" s="39" t="s">
        <v>685</v>
      </c>
      <c r="B277" s="39" t="s">
        <v>686</v>
      </c>
    </row>
    <row r="278">
      <c r="A278" s="10" t="s">
        <v>687</v>
      </c>
      <c r="B278" s="10" t="s">
        <v>688</v>
      </c>
    </row>
    <row r="279">
      <c r="A279" s="39" t="s">
        <v>689</v>
      </c>
      <c r="B279" s="39" t="s">
        <v>686</v>
      </c>
    </row>
    <row r="280">
      <c r="A280" s="10" t="s">
        <v>690</v>
      </c>
      <c r="B280" s="10" t="s">
        <v>550</v>
      </c>
    </row>
    <row r="281">
      <c r="A281" s="39" t="s">
        <v>691</v>
      </c>
      <c r="B281" s="39" t="s">
        <v>692</v>
      </c>
    </row>
    <row r="282">
      <c r="A282" s="10" t="s">
        <v>693</v>
      </c>
      <c r="B282" s="10" t="s">
        <v>686</v>
      </c>
    </row>
    <row r="283">
      <c r="A283" s="39" t="s">
        <v>694</v>
      </c>
      <c r="B283" s="39" t="s">
        <v>695</v>
      </c>
    </row>
    <row r="284">
      <c r="A284" s="10" t="s">
        <v>696</v>
      </c>
      <c r="B284" s="10" t="s">
        <v>428</v>
      </c>
    </row>
    <row r="285">
      <c r="A285" s="39" t="s">
        <v>697</v>
      </c>
      <c r="B285" s="39" t="s">
        <v>698</v>
      </c>
    </row>
    <row r="286">
      <c r="A286" s="10" t="s">
        <v>699</v>
      </c>
      <c r="B286" s="10" t="s">
        <v>660</v>
      </c>
    </row>
    <row r="287">
      <c r="A287" s="39" t="s">
        <v>700</v>
      </c>
      <c r="B287" s="39" t="s">
        <v>636</v>
      </c>
    </row>
    <row r="288">
      <c r="A288" s="10" t="s">
        <v>701</v>
      </c>
      <c r="B288" s="10" t="s">
        <v>702</v>
      </c>
    </row>
    <row r="289">
      <c r="A289" s="39" t="s">
        <v>703</v>
      </c>
      <c r="B289" s="39" t="s">
        <v>704</v>
      </c>
    </row>
    <row r="290">
      <c r="A290" s="10" t="s">
        <v>705</v>
      </c>
      <c r="B290" s="10" t="s">
        <v>706</v>
      </c>
    </row>
    <row r="291">
      <c r="A291" s="39" t="s">
        <v>707</v>
      </c>
      <c r="B291" s="39" t="s">
        <v>708</v>
      </c>
    </row>
    <row r="292">
      <c r="A292" s="10" t="s">
        <v>709</v>
      </c>
      <c r="B292" s="10" t="s">
        <v>710</v>
      </c>
    </row>
    <row r="293">
      <c r="A293" s="39" t="s">
        <v>711</v>
      </c>
      <c r="B293" s="39" t="s">
        <v>712</v>
      </c>
    </row>
    <row r="294">
      <c r="A294" s="10" t="s">
        <v>713</v>
      </c>
      <c r="B294" s="10" t="s">
        <v>714</v>
      </c>
    </row>
    <row r="295">
      <c r="A295" s="39" t="s">
        <v>715</v>
      </c>
      <c r="B295" s="39" t="s">
        <v>716</v>
      </c>
    </row>
    <row r="296">
      <c r="A296" s="10" t="s">
        <v>717</v>
      </c>
      <c r="B296" s="10" t="s">
        <v>718</v>
      </c>
    </row>
    <row r="297">
      <c r="A297" s="39" t="s">
        <v>719</v>
      </c>
      <c r="B297" s="39" t="s">
        <v>720</v>
      </c>
    </row>
    <row r="298">
      <c r="A298" s="10" t="s">
        <v>721</v>
      </c>
      <c r="B298" s="10" t="s">
        <v>722</v>
      </c>
    </row>
    <row r="299">
      <c r="A299" s="39" t="s">
        <v>723</v>
      </c>
      <c r="B299" s="39" t="s">
        <v>724</v>
      </c>
    </row>
    <row r="300">
      <c r="A300" s="10" t="s">
        <v>725</v>
      </c>
      <c r="B300" s="10" t="s">
        <v>726</v>
      </c>
    </row>
    <row r="301">
      <c r="A301" s="39" t="s">
        <v>727</v>
      </c>
      <c r="B301" s="39" t="s">
        <v>728</v>
      </c>
    </row>
    <row r="302">
      <c r="A302" s="10" t="s">
        <v>729</v>
      </c>
      <c r="B302" s="10" t="s">
        <v>730</v>
      </c>
    </row>
    <row r="303">
      <c r="A303" s="39" t="s">
        <v>731</v>
      </c>
      <c r="B303" s="39" t="s">
        <v>279</v>
      </c>
    </row>
    <row r="304">
      <c r="A304" s="10" t="s">
        <v>732</v>
      </c>
      <c r="B304" s="10" t="s">
        <v>733</v>
      </c>
    </row>
    <row r="305">
      <c r="A305" s="39" t="s">
        <v>734</v>
      </c>
      <c r="B305" s="39" t="s">
        <v>735</v>
      </c>
    </row>
    <row r="306">
      <c r="A306" s="10" t="s">
        <v>736</v>
      </c>
      <c r="B306" s="10" t="s">
        <v>737</v>
      </c>
    </row>
    <row r="307">
      <c r="A307" s="39" t="s">
        <v>738</v>
      </c>
      <c r="B307" s="39" t="s">
        <v>739</v>
      </c>
    </row>
    <row r="308">
      <c r="A308" s="10" t="s">
        <v>740</v>
      </c>
      <c r="B308" s="10" t="s">
        <v>741</v>
      </c>
    </row>
    <row r="309">
      <c r="A309" s="39" t="s">
        <v>742</v>
      </c>
      <c r="B309" s="39" t="s">
        <v>458</v>
      </c>
    </row>
    <row r="310">
      <c r="A310" s="10" t="s">
        <v>743</v>
      </c>
      <c r="B310" s="10" t="s">
        <v>744</v>
      </c>
    </row>
    <row r="311">
      <c r="A311" s="39" t="s">
        <v>745</v>
      </c>
      <c r="B311" s="39" t="s">
        <v>702</v>
      </c>
    </row>
    <row r="312">
      <c r="A312" s="10" t="s">
        <v>746</v>
      </c>
      <c r="B312" s="10" t="s">
        <v>747</v>
      </c>
    </row>
    <row r="313">
      <c r="A313" s="39" t="s">
        <v>748</v>
      </c>
      <c r="B313" s="39" t="s">
        <v>708</v>
      </c>
    </row>
    <row r="314">
      <c r="A314" s="10" t="s">
        <v>749</v>
      </c>
      <c r="B314" s="10" t="s">
        <v>651</v>
      </c>
    </row>
    <row r="315">
      <c r="A315" s="39" t="s">
        <v>750</v>
      </c>
      <c r="B315" s="39" t="s">
        <v>751</v>
      </c>
    </row>
    <row r="316">
      <c r="A316" s="10" t="s">
        <v>752</v>
      </c>
      <c r="B316" s="10" t="s">
        <v>753</v>
      </c>
    </row>
    <row r="317">
      <c r="A317" s="39" t="s">
        <v>754</v>
      </c>
      <c r="B317" s="39" t="s">
        <v>755</v>
      </c>
    </row>
    <row r="318">
      <c r="A318" s="10" t="s">
        <v>756</v>
      </c>
      <c r="B318" s="10" t="s">
        <v>757</v>
      </c>
    </row>
    <row r="319">
      <c r="A319" s="39" t="s">
        <v>758</v>
      </c>
      <c r="B319" s="39" t="s">
        <v>759</v>
      </c>
    </row>
    <row r="320">
      <c r="A320" s="10" t="s">
        <v>760</v>
      </c>
      <c r="B320" s="10" t="s">
        <v>761</v>
      </c>
    </row>
    <row r="321">
      <c r="A321" s="39" t="s">
        <v>762</v>
      </c>
      <c r="B321" s="39" t="s">
        <v>695</v>
      </c>
    </row>
    <row r="322">
      <c r="A322" s="10" t="s">
        <v>763</v>
      </c>
      <c r="B322" s="10" t="s">
        <v>764</v>
      </c>
    </row>
    <row r="323">
      <c r="A323" s="39" t="s">
        <v>765</v>
      </c>
      <c r="B323" s="39" t="s">
        <v>766</v>
      </c>
    </row>
    <row r="324">
      <c r="A324" s="10" t="s">
        <v>767</v>
      </c>
      <c r="B324" s="10" t="s">
        <v>768</v>
      </c>
    </row>
    <row r="325">
      <c r="A325" s="39" t="s">
        <v>769</v>
      </c>
      <c r="B325" s="39" t="s">
        <v>770</v>
      </c>
    </row>
    <row r="326">
      <c r="A326" s="10" t="s">
        <v>771</v>
      </c>
      <c r="B326" s="10" t="s">
        <v>716</v>
      </c>
    </row>
    <row r="327">
      <c r="A327" s="39" t="s">
        <v>772</v>
      </c>
      <c r="B327" s="39" t="s">
        <v>474</v>
      </c>
    </row>
    <row r="328">
      <c r="A328" s="10" t="s">
        <v>773</v>
      </c>
      <c r="B328" s="10" t="s">
        <v>774</v>
      </c>
    </row>
    <row r="329">
      <c r="A329" s="39" t="s">
        <v>775</v>
      </c>
      <c r="B329" s="39" t="s">
        <v>676</v>
      </c>
    </row>
    <row r="330">
      <c r="A330" s="10" t="s">
        <v>776</v>
      </c>
      <c r="B330" s="10" t="s">
        <v>777</v>
      </c>
    </row>
    <row r="331">
      <c r="A331" s="39" t="s">
        <v>778</v>
      </c>
      <c r="B331" s="39" t="s">
        <v>779</v>
      </c>
    </row>
    <row r="332">
      <c r="A332" s="10" t="s">
        <v>780</v>
      </c>
      <c r="B332" s="10" t="s">
        <v>781</v>
      </c>
    </row>
    <row r="333">
      <c r="A333" s="39" t="s">
        <v>782</v>
      </c>
      <c r="B333" s="39" t="s">
        <v>783</v>
      </c>
    </row>
    <row r="334">
      <c r="A334" s="10" t="s">
        <v>784</v>
      </c>
      <c r="B334" s="10" t="s">
        <v>785</v>
      </c>
    </row>
    <row r="335">
      <c r="A335" s="39" t="s">
        <v>786</v>
      </c>
      <c r="B335" s="39" t="s">
        <v>678</v>
      </c>
    </row>
    <row r="336">
      <c r="A336" s="10" t="s">
        <v>787</v>
      </c>
      <c r="B336" s="10" t="s">
        <v>788</v>
      </c>
    </row>
    <row r="337">
      <c r="A337" s="39" t="s">
        <v>789</v>
      </c>
      <c r="B337" s="39" t="s">
        <v>704</v>
      </c>
    </row>
    <row r="338">
      <c r="A338" s="10" t="s">
        <v>790</v>
      </c>
      <c r="B338" s="10" t="s">
        <v>791</v>
      </c>
    </row>
    <row r="339">
      <c r="A339" s="39" t="s">
        <v>792</v>
      </c>
      <c r="B339" s="39" t="s">
        <v>793</v>
      </c>
    </row>
    <row r="340">
      <c r="A340" s="10" t="s">
        <v>794</v>
      </c>
      <c r="B340" s="10" t="s">
        <v>795</v>
      </c>
    </row>
    <row r="341">
      <c r="A341" s="39" t="s">
        <v>796</v>
      </c>
      <c r="B341" s="39" t="s">
        <v>764</v>
      </c>
    </row>
    <row r="342">
      <c r="A342" s="10" t="s">
        <v>797</v>
      </c>
      <c r="B342" s="10" t="s">
        <v>632</v>
      </c>
    </row>
    <row r="343">
      <c r="A343" s="39" t="s">
        <v>798</v>
      </c>
      <c r="B343" s="39" t="s">
        <v>735</v>
      </c>
    </row>
    <row r="344">
      <c r="A344" s="10" t="s">
        <v>799</v>
      </c>
      <c r="B344" s="10" t="s">
        <v>791</v>
      </c>
    </row>
    <row r="345">
      <c r="A345" s="39" t="s">
        <v>800</v>
      </c>
      <c r="B345" s="39" t="s">
        <v>801</v>
      </c>
    </row>
    <row r="346">
      <c r="A346" s="10" t="s">
        <v>802</v>
      </c>
      <c r="B346" s="10" t="s">
        <v>803</v>
      </c>
    </row>
    <row r="347">
      <c r="A347" s="39" t="s">
        <v>804</v>
      </c>
      <c r="B347" s="39" t="s">
        <v>805</v>
      </c>
    </row>
    <row r="348">
      <c r="A348" s="10" t="s">
        <v>806</v>
      </c>
      <c r="B348" s="10" t="s">
        <v>680</v>
      </c>
    </row>
    <row r="349">
      <c r="A349" s="39" t="s">
        <v>807</v>
      </c>
      <c r="B349" s="39" t="s">
        <v>751</v>
      </c>
    </row>
    <row r="350">
      <c r="A350" s="10" t="s">
        <v>808</v>
      </c>
      <c r="B350" s="10" t="s">
        <v>785</v>
      </c>
    </row>
    <row r="351">
      <c r="A351" s="39" t="s">
        <v>809</v>
      </c>
      <c r="B351" s="39" t="s">
        <v>810</v>
      </c>
    </row>
    <row r="352">
      <c r="A352" s="10" t="s">
        <v>811</v>
      </c>
      <c r="B352" s="10" t="s">
        <v>812</v>
      </c>
    </row>
    <row r="353">
      <c r="A353" s="39" t="s">
        <v>813</v>
      </c>
      <c r="B353" s="39" t="s">
        <v>260</v>
      </c>
    </row>
    <row r="354">
      <c r="A354" s="10" t="s">
        <v>814</v>
      </c>
      <c r="B354" s="10" t="s">
        <v>777</v>
      </c>
    </row>
    <row r="355">
      <c r="A355" s="39" t="s">
        <v>815</v>
      </c>
      <c r="B355" s="39" t="s">
        <v>609</v>
      </c>
    </row>
    <row r="356">
      <c r="A356" s="10" t="s">
        <v>816</v>
      </c>
      <c r="B356" s="10" t="s">
        <v>582</v>
      </c>
    </row>
    <row r="357">
      <c r="A357" s="39" t="s">
        <v>817</v>
      </c>
      <c r="B357" s="39" t="s">
        <v>287</v>
      </c>
    </row>
    <row r="358">
      <c r="A358" s="10" t="s">
        <v>818</v>
      </c>
      <c r="B358" s="10" t="s">
        <v>819</v>
      </c>
    </row>
    <row r="359">
      <c r="A359" s="39" t="s">
        <v>820</v>
      </c>
      <c r="B359" s="39" t="s">
        <v>821</v>
      </c>
    </row>
    <row r="360">
      <c r="A360" s="10" t="s">
        <v>822</v>
      </c>
      <c r="B360" s="10" t="s">
        <v>823</v>
      </c>
    </row>
    <row r="361">
      <c r="A361" s="39" t="s">
        <v>824</v>
      </c>
      <c r="B361" s="39" t="s">
        <v>825</v>
      </c>
    </row>
    <row r="362">
      <c r="A362" s="10" t="s">
        <v>826</v>
      </c>
      <c r="B362" s="10" t="s">
        <v>770</v>
      </c>
    </row>
    <row r="363">
      <c r="A363" s="39" t="s">
        <v>827</v>
      </c>
      <c r="B363" s="39" t="s">
        <v>737</v>
      </c>
    </row>
    <row r="364">
      <c r="A364" s="10" t="s">
        <v>828</v>
      </c>
      <c r="B364" s="10" t="s">
        <v>720</v>
      </c>
    </row>
    <row r="365">
      <c r="A365" s="39" t="s">
        <v>829</v>
      </c>
      <c r="B365" s="39" t="s">
        <v>830</v>
      </c>
    </row>
    <row r="366">
      <c r="A366" s="10" t="s">
        <v>831</v>
      </c>
      <c r="B366" s="10" t="s">
        <v>805</v>
      </c>
    </row>
    <row r="367">
      <c r="A367" s="39" t="s">
        <v>832</v>
      </c>
      <c r="B367" s="39" t="s">
        <v>833</v>
      </c>
    </row>
    <row r="368">
      <c r="A368" s="10" t="s">
        <v>834</v>
      </c>
      <c r="B368" s="10" t="s">
        <v>835</v>
      </c>
    </row>
    <row r="369">
      <c r="A369" s="39" t="s">
        <v>836</v>
      </c>
      <c r="B369" s="39" t="s">
        <v>837</v>
      </c>
    </row>
    <row r="370">
      <c r="A370" s="10" t="s">
        <v>838</v>
      </c>
      <c r="B370" s="10" t="s">
        <v>839</v>
      </c>
    </row>
    <row r="371">
      <c r="A371" s="39" t="s">
        <v>840</v>
      </c>
      <c r="B371" s="39" t="s">
        <v>833</v>
      </c>
    </row>
    <row r="372">
      <c r="A372" s="10" t="s">
        <v>841</v>
      </c>
      <c r="B372" s="10" t="s">
        <v>842</v>
      </c>
    </row>
    <row r="373">
      <c r="A373" s="39" t="s">
        <v>843</v>
      </c>
      <c r="B373" s="39" t="s">
        <v>741</v>
      </c>
    </row>
    <row r="374">
      <c r="A374" s="10" t="s">
        <v>844</v>
      </c>
      <c r="B374" s="10" t="s">
        <v>845</v>
      </c>
    </row>
    <row r="375">
      <c r="A375" s="39" t="s">
        <v>846</v>
      </c>
      <c r="B375" s="39" t="s">
        <v>847</v>
      </c>
    </row>
    <row r="376">
      <c r="A376" s="10" t="s">
        <v>848</v>
      </c>
      <c r="B376" s="10" t="s">
        <v>849</v>
      </c>
    </row>
    <row r="377">
      <c r="A377" s="39" t="s">
        <v>850</v>
      </c>
      <c r="B377" s="39" t="s">
        <v>847</v>
      </c>
    </row>
    <row r="378">
      <c r="A378" s="10" t="s">
        <v>851</v>
      </c>
      <c r="B378" s="10" t="s">
        <v>852</v>
      </c>
    </row>
    <row r="379">
      <c r="A379" s="39" t="s">
        <v>853</v>
      </c>
      <c r="B379" s="39" t="s">
        <v>569</v>
      </c>
    </row>
    <row r="380">
      <c r="A380" s="10" t="s">
        <v>854</v>
      </c>
      <c r="B380" s="10" t="s">
        <v>744</v>
      </c>
    </row>
    <row r="381">
      <c r="A381" s="39" t="s">
        <v>855</v>
      </c>
      <c r="B381" s="39" t="s">
        <v>856</v>
      </c>
    </row>
    <row r="382">
      <c r="A382" s="10" t="s">
        <v>857</v>
      </c>
      <c r="B382" s="10" t="s">
        <v>858</v>
      </c>
    </row>
    <row r="383">
      <c r="A383" s="39" t="s">
        <v>859</v>
      </c>
      <c r="B383" s="39" t="s">
        <v>805</v>
      </c>
    </row>
    <row r="384">
      <c r="A384" s="10" t="s">
        <v>860</v>
      </c>
      <c r="B384" s="10" t="s">
        <v>588</v>
      </c>
    </row>
    <row r="385">
      <c r="A385" s="39" t="s">
        <v>860</v>
      </c>
      <c r="B385" s="39" t="s">
        <v>587</v>
      </c>
    </row>
    <row r="386">
      <c r="A386" s="10" t="s">
        <v>861</v>
      </c>
      <c r="B386" s="10" t="s">
        <v>862</v>
      </c>
    </row>
    <row r="387">
      <c r="A387" s="39" t="s">
        <v>863</v>
      </c>
      <c r="B387" s="39" t="s">
        <v>812</v>
      </c>
    </row>
    <row r="388">
      <c r="A388" s="10" t="s">
        <v>864</v>
      </c>
      <c r="B388" s="10" t="s">
        <v>720</v>
      </c>
    </row>
    <row r="389">
      <c r="A389" s="39" t="s">
        <v>865</v>
      </c>
      <c r="B389" s="39" t="s">
        <v>866</v>
      </c>
    </row>
    <row r="390">
      <c r="A390" s="10" t="s">
        <v>867</v>
      </c>
      <c r="B390" s="10" t="s">
        <v>868</v>
      </c>
    </row>
    <row r="391">
      <c r="A391" s="39" t="s">
        <v>869</v>
      </c>
      <c r="B391" s="39" t="s">
        <v>718</v>
      </c>
    </row>
    <row r="392">
      <c r="A392" s="10" t="s">
        <v>870</v>
      </c>
      <c r="B392" s="10" t="s">
        <v>839</v>
      </c>
    </row>
    <row r="393">
      <c r="A393" s="39" t="s">
        <v>871</v>
      </c>
      <c r="B393" s="39" t="s">
        <v>718</v>
      </c>
    </row>
    <row r="394">
      <c r="A394" s="10" t="s">
        <v>872</v>
      </c>
      <c r="B394" s="10" t="s">
        <v>873</v>
      </c>
    </row>
    <row r="395">
      <c r="A395" s="39" t="s">
        <v>874</v>
      </c>
      <c r="B395" s="39" t="s">
        <v>801</v>
      </c>
    </row>
    <row r="396">
      <c r="A396" s="10" t="s">
        <v>875</v>
      </c>
      <c r="B396" s="10" t="s">
        <v>876</v>
      </c>
    </row>
    <row r="397">
      <c r="A397" s="39" t="s">
        <v>877</v>
      </c>
      <c r="B397" s="39" t="s">
        <v>878</v>
      </c>
    </row>
    <row r="398">
      <c r="A398" s="10" t="s">
        <v>879</v>
      </c>
      <c r="B398" s="10" t="s">
        <v>839</v>
      </c>
    </row>
    <row r="399">
      <c r="A399" s="39" t="s">
        <v>880</v>
      </c>
      <c r="B399" s="39" t="s">
        <v>868</v>
      </c>
    </row>
    <row r="400">
      <c r="A400" s="10" t="s">
        <v>881</v>
      </c>
      <c r="B400" s="10" t="s">
        <v>718</v>
      </c>
    </row>
    <row r="401">
      <c r="A401" s="39" t="s">
        <v>882</v>
      </c>
      <c r="B401" s="39" t="s">
        <v>849</v>
      </c>
    </row>
    <row r="402">
      <c r="A402" s="10" t="s">
        <v>883</v>
      </c>
      <c r="B402" s="10" t="s">
        <v>884</v>
      </c>
    </row>
    <row r="403">
      <c r="A403" s="39" t="s">
        <v>885</v>
      </c>
      <c r="B403" s="39" t="s">
        <v>774</v>
      </c>
    </row>
    <row r="404">
      <c r="A404" s="10" t="s">
        <v>886</v>
      </c>
      <c r="B404" s="10" t="s">
        <v>862</v>
      </c>
    </row>
    <row r="405">
      <c r="A405" s="39" t="s">
        <v>887</v>
      </c>
      <c r="B405" s="39" t="s">
        <v>888</v>
      </c>
    </row>
    <row r="406">
      <c r="A406" s="10" t="s">
        <v>889</v>
      </c>
      <c r="B406" s="10" t="s">
        <v>890</v>
      </c>
    </row>
    <row r="407">
      <c r="A407" s="39" t="s">
        <v>891</v>
      </c>
      <c r="B407" s="39" t="s">
        <v>271</v>
      </c>
    </row>
    <row r="408">
      <c r="A408" s="10" t="s">
        <v>892</v>
      </c>
      <c r="B408" s="10" t="s">
        <v>805</v>
      </c>
    </row>
    <row r="409">
      <c r="A409" s="39" t="s">
        <v>893</v>
      </c>
      <c r="B409" s="39" t="s">
        <v>888</v>
      </c>
    </row>
    <row r="410">
      <c r="A410" s="10" t="s">
        <v>894</v>
      </c>
      <c r="B410" s="10" t="s">
        <v>888</v>
      </c>
    </row>
    <row r="411">
      <c r="A411" s="39" t="s">
        <v>895</v>
      </c>
      <c r="B411" s="39" t="s">
        <v>218</v>
      </c>
    </row>
    <row r="412">
      <c r="A412" s="10" t="s">
        <v>896</v>
      </c>
      <c r="B412" s="10" t="s">
        <v>199</v>
      </c>
    </row>
    <row r="413">
      <c r="A413" s="39" t="s">
        <v>897</v>
      </c>
      <c r="B413" s="39" t="s">
        <v>898</v>
      </c>
    </row>
    <row r="414">
      <c r="A414" s="10" t="s">
        <v>899</v>
      </c>
      <c r="B414" s="10" t="s">
        <v>900</v>
      </c>
    </row>
    <row r="415">
      <c r="A415" s="39" t="s">
        <v>901</v>
      </c>
      <c r="B415" s="39" t="s">
        <v>768</v>
      </c>
    </row>
    <row r="416">
      <c r="A416" s="10" t="s">
        <v>902</v>
      </c>
      <c r="B416" s="10" t="s">
        <v>730</v>
      </c>
    </row>
    <row r="417">
      <c r="A417" s="39" t="s">
        <v>903</v>
      </c>
      <c r="B417" s="39" t="s">
        <v>781</v>
      </c>
    </row>
    <row r="418">
      <c r="A418" s="10" t="s">
        <v>904</v>
      </c>
      <c r="B418" s="10" t="s">
        <v>900</v>
      </c>
    </row>
    <row r="419">
      <c r="A419" s="39" t="s">
        <v>905</v>
      </c>
      <c r="B419" s="39" t="s">
        <v>906</v>
      </c>
    </row>
    <row r="420">
      <c r="A420" s="10" t="s">
        <v>907</v>
      </c>
      <c r="B420" s="10" t="s">
        <v>428</v>
      </c>
    </row>
    <row r="421">
      <c r="A421" s="39" t="s">
        <v>908</v>
      </c>
      <c r="B421" s="39" t="s">
        <v>890</v>
      </c>
    </row>
    <row r="422">
      <c r="A422" s="10" t="s">
        <v>909</v>
      </c>
      <c r="B422" s="10" t="s">
        <v>805</v>
      </c>
    </row>
    <row r="423">
      <c r="A423" s="39" t="s">
        <v>910</v>
      </c>
      <c r="B423" s="39" t="s">
        <v>911</v>
      </c>
    </row>
    <row r="424">
      <c r="A424" s="10" t="s">
        <v>912</v>
      </c>
      <c r="B424" s="10" t="s">
        <v>913</v>
      </c>
    </row>
    <row r="425">
      <c r="A425" s="39" t="s">
        <v>914</v>
      </c>
      <c r="B425" s="39" t="s">
        <v>913</v>
      </c>
    </row>
    <row r="426">
      <c r="A426" s="10" t="s">
        <v>915</v>
      </c>
      <c r="B426" s="10" t="s">
        <v>866</v>
      </c>
    </row>
    <row r="427">
      <c r="A427" s="39" t="s">
        <v>916</v>
      </c>
      <c r="B427" s="39" t="s">
        <v>704</v>
      </c>
    </row>
    <row r="428">
      <c r="A428" s="10" t="s">
        <v>917</v>
      </c>
      <c r="B428" s="10" t="s">
        <v>918</v>
      </c>
    </row>
    <row r="429">
      <c r="A429" s="39" t="s">
        <v>919</v>
      </c>
      <c r="B429" s="39" t="s">
        <v>920</v>
      </c>
    </row>
    <row r="430">
      <c r="A430" s="10" t="s">
        <v>921</v>
      </c>
      <c r="B430" s="10" t="s">
        <v>805</v>
      </c>
    </row>
    <row r="431">
      <c r="A431" s="39" t="s">
        <v>922</v>
      </c>
      <c r="B431" s="39" t="s">
        <v>923</v>
      </c>
    </row>
    <row r="432">
      <c r="A432" s="10" t="s">
        <v>924</v>
      </c>
      <c r="B432" s="10" t="s">
        <v>925</v>
      </c>
    </row>
    <row r="433">
      <c r="A433" s="39" t="s">
        <v>926</v>
      </c>
      <c r="B433" s="39" t="s">
        <v>805</v>
      </c>
    </row>
    <row r="434">
      <c r="A434" s="10" t="s">
        <v>927</v>
      </c>
      <c r="B434" s="10" t="s">
        <v>928</v>
      </c>
    </row>
    <row r="435">
      <c r="A435" s="39" t="s">
        <v>929</v>
      </c>
      <c r="B435" s="39" t="s">
        <v>930</v>
      </c>
    </row>
    <row r="436">
      <c r="A436" s="10" t="s">
        <v>931</v>
      </c>
      <c r="B436" s="10" t="s">
        <v>755</v>
      </c>
    </row>
    <row r="437">
      <c r="A437" s="39" t="s">
        <v>932</v>
      </c>
      <c r="B437" s="39" t="s">
        <v>933</v>
      </c>
    </row>
    <row r="438">
      <c r="A438" s="10" t="s">
        <v>934</v>
      </c>
      <c r="B438" s="10" t="s">
        <v>933</v>
      </c>
    </row>
    <row r="439">
      <c r="A439" s="39" t="s">
        <v>935</v>
      </c>
      <c r="B439" s="39" t="s">
        <v>866</v>
      </c>
    </row>
    <row r="440">
      <c r="A440" s="10" t="s">
        <v>936</v>
      </c>
      <c r="B440" s="10" t="s">
        <v>936</v>
      </c>
    </row>
    <row r="441">
      <c r="A441" s="39" t="s">
        <v>937</v>
      </c>
      <c r="B441" s="39" t="s">
        <v>878</v>
      </c>
    </row>
    <row r="442">
      <c r="A442" s="10" t="s">
        <v>938</v>
      </c>
      <c r="B442" s="10" t="s">
        <v>783</v>
      </c>
    </row>
    <row r="443">
      <c r="A443" s="39" t="s">
        <v>939</v>
      </c>
      <c r="B443" s="39" t="s">
        <v>940</v>
      </c>
    </row>
    <row r="444">
      <c r="A444" s="10" t="s">
        <v>941</v>
      </c>
      <c r="B444" s="10" t="s">
        <v>942</v>
      </c>
    </row>
    <row r="445">
      <c r="A445" s="39" t="s">
        <v>943</v>
      </c>
      <c r="B445" s="39" t="s">
        <v>712</v>
      </c>
    </row>
    <row r="446">
      <c r="A446" s="10" t="s">
        <v>944</v>
      </c>
      <c r="B446" s="10" t="s">
        <v>842</v>
      </c>
    </row>
    <row r="447">
      <c r="A447" s="39" t="s">
        <v>945</v>
      </c>
      <c r="B447" s="39" t="s">
        <v>946</v>
      </c>
    </row>
    <row r="448">
      <c r="A448" s="10" t="s">
        <v>947</v>
      </c>
      <c r="B448" s="10" t="s">
        <v>698</v>
      </c>
    </row>
    <row r="449">
      <c r="A449" s="39" t="s">
        <v>948</v>
      </c>
      <c r="B449" s="39" t="s">
        <v>949</v>
      </c>
    </row>
    <row r="450">
      <c r="A450" s="10" t="s">
        <v>950</v>
      </c>
      <c r="B450" s="10" t="s">
        <v>950</v>
      </c>
    </row>
    <row r="451">
      <c r="A451" s="39" t="s">
        <v>951</v>
      </c>
      <c r="B451" s="39" t="s">
        <v>952</v>
      </c>
    </row>
    <row r="452">
      <c r="A452" s="10" t="s">
        <v>953</v>
      </c>
      <c r="B452" s="10" t="s">
        <v>954</v>
      </c>
    </row>
    <row r="453">
      <c r="A453" s="39" t="s">
        <v>955</v>
      </c>
      <c r="B453" s="39" t="s">
        <v>956</v>
      </c>
    </row>
    <row r="454">
      <c r="A454" s="10" t="s">
        <v>957</v>
      </c>
      <c r="B454" s="10" t="s">
        <v>958</v>
      </c>
    </row>
    <row r="455">
      <c r="A455" s="39" t="s">
        <v>959</v>
      </c>
      <c r="B455" s="39" t="s">
        <v>960</v>
      </c>
    </row>
    <row r="456">
      <c r="A456" s="10" t="s">
        <v>961</v>
      </c>
      <c r="B456" s="10" t="s">
        <v>961</v>
      </c>
    </row>
    <row r="457">
      <c r="A457" s="39" t="s">
        <v>962</v>
      </c>
      <c r="B457" s="39" t="s">
        <v>962</v>
      </c>
    </row>
    <row r="458">
      <c r="A458" s="10" t="s">
        <v>963</v>
      </c>
      <c r="B458" s="10" t="s">
        <v>954</v>
      </c>
    </row>
    <row r="459">
      <c r="A459" s="39" t="s">
        <v>964</v>
      </c>
      <c r="B459" s="39" t="s">
        <v>965</v>
      </c>
    </row>
    <row r="460">
      <c r="A460" s="10" t="s">
        <v>966</v>
      </c>
      <c r="B460" s="10" t="s">
        <v>967</v>
      </c>
    </row>
    <row r="461">
      <c r="A461" s="39" t="s">
        <v>968</v>
      </c>
      <c r="B461" s="39" t="s">
        <v>969</v>
      </c>
    </row>
    <row r="462">
      <c r="A462" s="10" t="s">
        <v>970</v>
      </c>
      <c r="B462" s="10" t="s">
        <v>969</v>
      </c>
    </row>
    <row r="463">
      <c r="A463" s="39" t="s">
        <v>971</v>
      </c>
      <c r="B463" s="39" t="s">
        <v>972</v>
      </c>
    </row>
    <row r="464">
      <c r="A464" s="10" t="s">
        <v>973</v>
      </c>
      <c r="B464" s="10" t="s">
        <v>972</v>
      </c>
    </row>
    <row r="465">
      <c r="A465" s="39" t="s">
        <v>974</v>
      </c>
      <c r="B465" s="39" t="s">
        <v>975</v>
      </c>
    </row>
    <row r="466">
      <c r="A466" s="10" t="s">
        <v>976</v>
      </c>
      <c r="B466" s="10" t="s">
        <v>977</v>
      </c>
    </row>
    <row r="467">
      <c r="A467" s="39" t="s">
        <v>978</v>
      </c>
      <c r="B467" s="39" t="s">
        <v>977</v>
      </c>
    </row>
    <row r="468">
      <c r="A468" s="10" t="s">
        <v>979</v>
      </c>
      <c r="B468" s="10" t="s">
        <v>975</v>
      </c>
    </row>
    <row r="469">
      <c r="A469" s="39" t="s">
        <v>980</v>
      </c>
      <c r="B469" s="39" t="s">
        <v>980</v>
      </c>
    </row>
    <row r="470">
      <c r="A470" s="10" t="s">
        <v>981</v>
      </c>
      <c r="B470" s="10" t="s">
        <v>982</v>
      </c>
    </row>
    <row r="471">
      <c r="A471" s="39" t="s">
        <v>983</v>
      </c>
      <c r="B471" s="39" t="s">
        <v>984</v>
      </c>
    </row>
    <row r="472">
      <c r="A472" s="10" t="s">
        <v>985</v>
      </c>
      <c r="B472" s="10" t="s">
        <v>984</v>
      </c>
    </row>
    <row r="473">
      <c r="A473" s="39" t="s">
        <v>986</v>
      </c>
      <c r="B473" s="39" t="s">
        <v>946</v>
      </c>
    </row>
    <row r="474">
      <c r="A474" s="10" t="s">
        <v>987</v>
      </c>
      <c r="B474" s="10" t="s">
        <v>987</v>
      </c>
    </row>
    <row r="475">
      <c r="A475" s="39" t="s">
        <v>988</v>
      </c>
      <c r="B475" s="39" t="s">
        <v>526</v>
      </c>
    </row>
    <row r="476">
      <c r="A476" s="10" t="s">
        <v>989</v>
      </c>
      <c r="B476" s="10" t="s">
        <v>990</v>
      </c>
    </row>
    <row r="477">
      <c r="A477" s="39" t="s">
        <v>991</v>
      </c>
      <c r="B477" s="39" t="s">
        <v>991</v>
      </c>
    </row>
    <row r="478">
      <c r="A478" s="10" t="s">
        <v>992</v>
      </c>
      <c r="B478" s="10" t="s">
        <v>810</v>
      </c>
    </row>
    <row r="479">
      <c r="A479" s="39" t="s">
        <v>993</v>
      </c>
      <c r="B479" s="39" t="s">
        <v>821</v>
      </c>
    </row>
    <row r="480">
      <c r="A480" s="10" t="s">
        <v>994</v>
      </c>
      <c r="B480" s="10" t="s">
        <v>995</v>
      </c>
    </row>
    <row r="481">
      <c r="A481" s="39" t="s">
        <v>996</v>
      </c>
      <c r="B481" s="39" t="s">
        <v>997</v>
      </c>
    </row>
    <row r="482">
      <c r="A482" s="10" t="s">
        <v>998</v>
      </c>
      <c r="B482" s="10" t="s">
        <v>997</v>
      </c>
    </row>
    <row r="483">
      <c r="A483" s="39" t="s">
        <v>999</v>
      </c>
      <c r="B483" s="39" t="s">
        <v>1000</v>
      </c>
    </row>
    <row r="484">
      <c r="A484" s="10" t="s">
        <v>1001</v>
      </c>
      <c r="B484" s="10" t="s">
        <v>1000</v>
      </c>
    </row>
    <row r="485">
      <c r="A485" s="39" t="s">
        <v>1002</v>
      </c>
      <c r="B485" s="39" t="s">
        <v>1002</v>
      </c>
    </row>
    <row r="486">
      <c r="A486" s="10" t="s">
        <v>1003</v>
      </c>
      <c r="B486" s="10" t="s">
        <v>900</v>
      </c>
    </row>
    <row r="487">
      <c r="A487" s="39" t="s">
        <v>1004</v>
      </c>
      <c r="B487" s="39" t="s">
        <v>1005</v>
      </c>
    </row>
    <row r="488">
      <c r="A488" s="10" t="s">
        <v>1006</v>
      </c>
      <c r="B488" s="10" t="s">
        <v>1005</v>
      </c>
    </row>
    <row r="489">
      <c r="A489" s="39" t="s">
        <v>1007</v>
      </c>
      <c r="B489" s="39" t="s">
        <v>1005</v>
      </c>
    </row>
    <row r="490">
      <c r="A490" s="10" t="s">
        <v>1008</v>
      </c>
      <c r="B490" s="10" t="s">
        <v>1009</v>
      </c>
    </row>
    <row r="491">
      <c r="A491" s="39" t="s">
        <v>1010</v>
      </c>
      <c r="B491" s="39" t="s">
        <v>1011</v>
      </c>
    </row>
    <row r="492">
      <c r="A492" s="10" t="s">
        <v>1012</v>
      </c>
      <c r="B492" s="10" t="s">
        <v>1013</v>
      </c>
    </row>
    <row r="493">
      <c r="A493" s="39" t="s">
        <v>1014</v>
      </c>
      <c r="B493" s="39" t="s">
        <v>1009</v>
      </c>
    </row>
    <row r="494">
      <c r="A494" s="10" t="s">
        <v>1015</v>
      </c>
      <c r="B494" s="10" t="s">
        <v>1016</v>
      </c>
    </row>
    <row r="495">
      <c r="A495" s="39" t="s">
        <v>1017</v>
      </c>
      <c r="B495" s="39" t="s">
        <v>1018</v>
      </c>
    </row>
    <row r="496">
      <c r="A496" s="10" t="s">
        <v>1019</v>
      </c>
      <c r="B496" s="10" t="s">
        <v>1018</v>
      </c>
    </row>
    <row r="497">
      <c r="A497" s="39" t="s">
        <v>1020</v>
      </c>
      <c r="B497" s="39" t="s">
        <v>1021</v>
      </c>
    </row>
    <row r="498">
      <c r="A498" s="10" t="s">
        <v>1022</v>
      </c>
      <c r="B498" s="10" t="s">
        <v>1022</v>
      </c>
    </row>
    <row r="499">
      <c r="A499" s="39" t="s">
        <v>1023</v>
      </c>
      <c r="B499" s="39" t="s">
        <v>1023</v>
      </c>
    </row>
    <row r="500">
      <c r="A500" s="10" t="s">
        <v>1024</v>
      </c>
      <c r="B500" s="10" t="s">
        <v>1024</v>
      </c>
    </row>
    <row r="501">
      <c r="A501" s="39" t="s">
        <v>1025</v>
      </c>
      <c r="B501" s="39" t="s">
        <v>1025</v>
      </c>
    </row>
    <row r="502">
      <c r="A502" s="10" t="s">
        <v>1026</v>
      </c>
      <c r="B502" s="10" t="s">
        <v>1026</v>
      </c>
    </row>
    <row r="503">
      <c r="A503" s="39" t="s">
        <v>1027</v>
      </c>
      <c r="B503" s="39" t="s">
        <v>1028</v>
      </c>
    </row>
    <row r="504">
      <c r="A504" s="10" t="s">
        <v>1029</v>
      </c>
      <c r="B504" s="10" t="s">
        <v>1029</v>
      </c>
    </row>
    <row r="505">
      <c r="A505" s="39" t="s">
        <v>1030</v>
      </c>
      <c r="B505" s="39" t="s">
        <v>1030</v>
      </c>
    </row>
    <row r="506">
      <c r="A506" s="10" t="s">
        <v>1031</v>
      </c>
      <c r="B506" s="10" t="s">
        <v>1031</v>
      </c>
    </row>
    <row r="507">
      <c r="A507" s="39" t="s">
        <v>1032</v>
      </c>
      <c r="B507" s="39" t="s">
        <v>524</v>
      </c>
    </row>
    <row r="508">
      <c r="A508" s="10" t="s">
        <v>1033</v>
      </c>
      <c r="B508" s="10" t="s">
        <v>629</v>
      </c>
    </row>
    <row r="509">
      <c r="A509" s="39" t="s">
        <v>1034</v>
      </c>
      <c r="B509" s="39" t="s">
        <v>1034</v>
      </c>
    </row>
    <row r="510">
      <c r="A510" s="10" t="s">
        <v>1035</v>
      </c>
      <c r="B510" s="10" t="s">
        <v>1036</v>
      </c>
    </row>
    <row r="511">
      <c r="A511" s="39" t="s">
        <v>1037</v>
      </c>
      <c r="B511" s="39" t="s">
        <v>1037</v>
      </c>
    </row>
    <row r="512">
      <c r="A512" s="10" t="s">
        <v>1038</v>
      </c>
      <c r="B512" s="10" t="s">
        <v>1038</v>
      </c>
    </row>
    <row r="513">
      <c r="A513" s="39" t="s">
        <v>1039</v>
      </c>
      <c r="B513" s="39" t="s">
        <v>1039</v>
      </c>
    </row>
    <row r="514">
      <c r="A514" s="10" t="s">
        <v>1040</v>
      </c>
      <c r="B514" s="10" t="s">
        <v>1041</v>
      </c>
    </row>
    <row r="515">
      <c r="A515" s="39" t="s">
        <v>1042</v>
      </c>
      <c r="B515" s="39" t="s">
        <v>1043</v>
      </c>
    </row>
    <row r="516">
      <c r="A516" s="10" t="s">
        <v>1044</v>
      </c>
      <c r="B516" s="10" t="s">
        <v>1045</v>
      </c>
    </row>
    <row r="517">
      <c r="A517" s="39" t="s">
        <v>1046</v>
      </c>
      <c r="B517" s="39" t="s">
        <v>1046</v>
      </c>
    </row>
    <row r="518">
      <c r="A518" s="10" t="s">
        <v>1047</v>
      </c>
      <c r="B518" s="10" t="s">
        <v>1048</v>
      </c>
    </row>
    <row r="519">
      <c r="A519" s="39" t="s">
        <v>1049</v>
      </c>
      <c r="B519" s="39" t="s">
        <v>1048</v>
      </c>
    </row>
    <row r="520">
      <c r="A520" s="10" t="s">
        <v>1050</v>
      </c>
      <c r="B520" s="10" t="s">
        <v>1051</v>
      </c>
    </row>
    <row r="521">
      <c r="A521" s="39" t="s">
        <v>1052</v>
      </c>
      <c r="B521" s="39" t="s">
        <v>975</v>
      </c>
    </row>
    <row r="522">
      <c r="A522" s="10" t="s">
        <v>1053</v>
      </c>
      <c r="B522" s="10" t="s">
        <v>884</v>
      </c>
    </row>
    <row r="523">
      <c r="A523" s="39" t="s">
        <v>1054</v>
      </c>
      <c r="B523" s="39" t="s">
        <v>645</v>
      </c>
    </row>
    <row r="524">
      <c r="A524" s="10" t="s">
        <v>1055</v>
      </c>
      <c r="B524" s="10" t="s">
        <v>960</v>
      </c>
    </row>
    <row r="525">
      <c r="A525" s="39" t="s">
        <v>1056</v>
      </c>
      <c r="B525" s="39" t="s">
        <v>753</v>
      </c>
    </row>
    <row r="526">
      <c r="A526" s="10" t="s">
        <v>1057</v>
      </c>
      <c r="B526" s="10" t="s">
        <v>1058</v>
      </c>
    </row>
    <row r="527">
      <c r="A527" s="39" t="s">
        <v>1059</v>
      </c>
      <c r="B527" s="39" t="s">
        <v>1060</v>
      </c>
    </row>
    <row r="528">
      <c r="A528" s="10" t="s">
        <v>1061</v>
      </c>
      <c r="B528" s="10" t="s">
        <v>1062</v>
      </c>
    </row>
    <row r="529">
      <c r="A529" s="39" t="s">
        <v>1063</v>
      </c>
      <c r="B529" s="39" t="s">
        <v>982</v>
      </c>
    </row>
    <row r="530">
      <c r="A530" s="10" t="s">
        <v>1064</v>
      </c>
      <c r="B530" s="10" t="s">
        <v>990</v>
      </c>
    </row>
    <row r="531">
      <c r="A531" s="39" t="s">
        <v>1065</v>
      </c>
      <c r="B531" s="39" t="s">
        <v>873</v>
      </c>
    </row>
    <row r="532">
      <c r="A532" s="10" t="s">
        <v>1066</v>
      </c>
      <c r="B532" s="10" t="s">
        <v>835</v>
      </c>
    </row>
    <row r="533">
      <c r="A533" s="39" t="s">
        <v>1067</v>
      </c>
      <c r="B533" s="39" t="s">
        <v>712</v>
      </c>
    </row>
    <row r="534">
      <c r="A534" s="10" t="s">
        <v>1068</v>
      </c>
      <c r="B534" s="10" t="s">
        <v>803</v>
      </c>
    </row>
    <row r="535">
      <c r="A535" s="39" t="s">
        <v>1069</v>
      </c>
      <c r="B535" s="39" t="s">
        <v>636</v>
      </c>
    </row>
    <row r="536">
      <c r="A536" s="10" t="s">
        <v>1070</v>
      </c>
      <c r="B536" s="10" t="s">
        <v>1071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9.38"/>
    <col customWidth="1" min="3" max="3" width="20.88"/>
  </cols>
  <sheetData>
    <row r="1">
      <c r="A1" s="40" t="s">
        <v>1072</v>
      </c>
      <c r="B1" s="41">
        <f>MAX(Principal!O:O)</f>
        <v>4762926995</v>
      </c>
      <c r="C1" s="42" t="str">
        <f>VLOOKUP(B1,Principal!O:R,3,0)</f>
        <v>Vale</v>
      </c>
    </row>
    <row r="2">
      <c r="A2" s="40" t="s">
        <v>1073</v>
      </c>
      <c r="B2" s="41">
        <f>MIN(Principal!O:O)</f>
        <v>-1807432634</v>
      </c>
      <c r="C2" s="42" t="str">
        <f>VLOOKUP(B2,Principal!O:R,3,0)</f>
        <v>Localiza</v>
      </c>
    </row>
    <row r="3">
      <c r="A3" s="40" t="s">
        <v>1074</v>
      </c>
      <c r="B3" s="41">
        <f>AVERAGE(Principal!O:O)</f>
        <v>165190210.5</v>
      </c>
      <c r="C3" s="42"/>
    </row>
    <row r="4">
      <c r="A4" s="40" t="s">
        <v>1075</v>
      </c>
      <c r="B4" s="41">
        <f>AVERAGEIF(Principal!P:P,"Subiu",Principal!O:O)</f>
        <v>448164250.2</v>
      </c>
      <c r="C4" s="42"/>
    </row>
    <row r="5">
      <c r="A5" s="40" t="s">
        <v>1076</v>
      </c>
      <c r="B5" s="41">
        <f>AVERAGEIF(Principal!P:P,"Desceu",Principal!O:O)</f>
        <v>-181109141.8</v>
      </c>
      <c r="C5" s="42"/>
    </row>
    <row r="9">
      <c r="A9" s="43"/>
      <c r="B9" s="43"/>
      <c r="C9" s="43"/>
    </row>
    <row r="10">
      <c r="A10" s="44" t="str">
        <f>IFERROR(__xludf.DUMMYFUNCTION("UNIQUE(Principal!R:R)"),"Segmento")</f>
        <v>Segmento</v>
      </c>
      <c r="B10" s="40" t="s">
        <v>1077</v>
      </c>
      <c r="C10" s="40" t="s">
        <v>1078</v>
      </c>
    </row>
    <row r="11">
      <c r="A11" s="42" t="str">
        <f>IFERROR(__xludf.DUMMYFUNCTION("""COMPUTED_VALUE"""),"Siderurgia")</f>
        <v>Siderurgia</v>
      </c>
      <c r="B11" s="41">
        <f>SUMIF(Principal!R:R,A11,Principal!O:O)</f>
        <v>489935930.9</v>
      </c>
      <c r="C11" s="41">
        <f>SUMIFS(Principal!O:O,Principal!R:R,A11,Principal!P:P,"Subiu")</f>
        <v>489935930.9</v>
      </c>
    </row>
    <row r="12">
      <c r="A12" s="42" t="str">
        <f>IFERROR(__xludf.DUMMYFUNCTION("""COMPUTED_VALUE"""),"Mineração")</f>
        <v>Mineração</v>
      </c>
      <c r="B12" s="41">
        <f>SUMIF(Principal!R:R,A12,Principal!O:O)</f>
        <v>4940442966</v>
      </c>
      <c r="C12" s="41">
        <f>SUMIFS(Principal!O:O,Principal!R:R,A12,Principal!P:P,"Subiu")</f>
        <v>4940442966</v>
      </c>
    </row>
    <row r="13">
      <c r="A13" s="42" t="str">
        <f>IFERROR(__xludf.DUMMYFUNCTION("""COMPUTED_VALUE"""),"Petróleo e Gás")</f>
        <v>Petróleo e Gás</v>
      </c>
      <c r="B13" s="41">
        <f>SUMIF(Principal!R:R,A13,Principal!O:O)</f>
        <v>6093288832</v>
      </c>
      <c r="C13" s="41">
        <f>SUMIFS(Principal!O:O,Principal!R:R,A13,Principal!P:P,"Subiu")</f>
        <v>6093288832</v>
      </c>
    </row>
    <row r="14">
      <c r="A14" s="42" t="str">
        <f>IFERROR(__xludf.DUMMYFUNCTION("""COMPUTED_VALUE"""),"Papel e Celulose")</f>
        <v>Papel e Celulose</v>
      </c>
      <c r="B14" s="41">
        <f>SUMIF(Principal!R:R,A14,Principal!O:O)</f>
        <v>722946282.7</v>
      </c>
      <c r="C14" s="41">
        <f>SUMIFS(Principal!O:O,Principal!R:R,A14,Principal!P:P,"Subiu")</f>
        <v>722946282.7</v>
      </c>
    </row>
    <row r="15">
      <c r="A15" s="42" t="str">
        <f>IFERROR(__xludf.DUMMYFUNCTION("""COMPUTED_VALUE"""),"Energia")</f>
        <v>Energia</v>
      </c>
      <c r="B15" s="41">
        <f>SUMIF(Principal!R:R,A15,Principal!O:O)</f>
        <v>-120601893.4</v>
      </c>
      <c r="C15" s="41">
        <f>SUMIFS(Principal!O:O,Principal!R:R,A15,Principal!P:P,"Subiu")</f>
        <v>839184846.2</v>
      </c>
    </row>
    <row r="16">
      <c r="A16" s="42" t="str">
        <f>IFERROR(__xludf.DUMMYFUNCTION("""COMPUTED_VALUE"""),"Shopping Centers")</f>
        <v>Shopping Centers</v>
      </c>
      <c r="B16" s="41">
        <f>SUMIF(Principal!R:R,A16,Principal!O:O)</f>
        <v>117732680.1</v>
      </c>
      <c r="C16" s="41">
        <f>SUMIFS(Principal!O:O,Principal!R:R,A16,Principal!P:P,"Subiu")</f>
        <v>117732680.1</v>
      </c>
    </row>
    <row r="17">
      <c r="A17" s="42" t="str">
        <f>IFERROR(__xludf.DUMMYFUNCTION("""COMPUTED_VALUE"""),"Bancos")</f>
        <v>Bancos</v>
      </c>
      <c r="B17" s="41">
        <f>SUMIF(Principal!R:R,A17,Principal!O:O)</f>
        <v>4156604263</v>
      </c>
      <c r="C17" s="41">
        <f>SUMIFS(Principal!O:O,Principal!R:R,A17,Principal!P:P,"Subiu")</f>
        <v>4156604263</v>
      </c>
    </row>
    <row r="18">
      <c r="A18" s="42" t="str">
        <f>IFERROR(__xludf.DUMMYFUNCTION("""COMPUTED_VALUE"""),"Saúde")</f>
        <v>Saúde</v>
      </c>
      <c r="B18" s="41">
        <f>SUMIF(Principal!R:R,A18,Principal!O:O)</f>
        <v>262673943.6</v>
      </c>
      <c r="C18" s="41">
        <f>SUMIFS(Principal!O:O,Principal!R:R,A18,Principal!P:P,"Subiu")</f>
        <v>656270380.8</v>
      </c>
    </row>
    <row r="19">
      <c r="A19" s="42" t="str">
        <f>IFERROR(__xludf.DUMMYFUNCTION("""COMPUTED_VALUE"""),"Petroquímica")</f>
        <v>Petroquímica</v>
      </c>
      <c r="B19" s="41">
        <f>SUMIF(Principal!R:R,A19,Principal!O:O)</f>
        <v>69054317.64</v>
      </c>
      <c r="C19" s="41">
        <f>SUMIFS(Principal!O:O,Principal!R:R,A19,Principal!P:P,"Subiu")</f>
        <v>69054317.64</v>
      </c>
    </row>
    <row r="20">
      <c r="A20" s="42" t="str">
        <f>IFERROR(__xludf.DUMMYFUNCTION("""COMPUTED_VALUE"""),"Transporte Aéreo")</f>
        <v>Transporte Aéreo</v>
      </c>
      <c r="B20" s="41">
        <f>SUMIF(Principal!R:R,A20,Principal!O:O)</f>
        <v>-37540997.06</v>
      </c>
      <c r="C20" s="41">
        <f>SUMIFS(Principal!O:O,Principal!R:R,A20,Principal!P:P,"Subiu")</f>
        <v>65452205.55</v>
      </c>
    </row>
    <row r="21">
      <c r="A21" s="42" t="str">
        <f>IFERROR(__xludf.DUMMYFUNCTION("""COMPUTED_VALUE"""),"Educação")</f>
        <v>Educação</v>
      </c>
      <c r="B21" s="41">
        <f>SUMIF(Principal!R:R,A21,Principal!O:O)</f>
        <v>54641872.47</v>
      </c>
      <c r="C21" s="41">
        <f>SUMIFS(Principal!O:O,Principal!R:R,A21,Principal!P:P,"Subiu")</f>
        <v>72295838.99</v>
      </c>
    </row>
    <row r="22">
      <c r="A22" s="42" t="str">
        <f>IFERROR(__xludf.DUMMYFUNCTION("""COMPUTED_VALUE"""),"Distribuição")</f>
        <v>Distribuição</v>
      </c>
      <c r="B22" s="41">
        <f>SUMIF(Principal!R:R,A22,Principal!O:O)</f>
        <v>388705224</v>
      </c>
      <c r="C22" s="41">
        <f>SUMIFS(Principal!O:O,Principal!R:R,A22,Principal!P:P,"Subiu")</f>
        <v>388705224</v>
      </c>
    </row>
    <row r="23">
      <c r="A23" s="42" t="str">
        <f>IFERROR(__xludf.DUMMYFUNCTION("""COMPUTED_VALUE"""),"Construção Civil")</f>
        <v>Construção Civil</v>
      </c>
      <c r="B23" s="41">
        <f>SUMIF(Principal!R:R,A23,Principal!O:O)</f>
        <v>-61087401.61</v>
      </c>
      <c r="C23" s="41">
        <f>SUMIFS(Principal!O:O,Principal!R:R,A23,Principal!P:P,"Subiu")</f>
        <v>37525872.38</v>
      </c>
    </row>
    <row r="24">
      <c r="A24" s="42" t="str">
        <f>IFERROR(__xludf.DUMMYFUNCTION("""COMPUTED_VALUE"""),"Moda")</f>
        <v>Moda</v>
      </c>
      <c r="B24" s="41">
        <f>SUMIF(Principal!R:R,A24,Principal!O:O)</f>
        <v>41021792.09</v>
      </c>
      <c r="C24" s="41">
        <f>SUMIFS(Principal!O:O,Principal!R:R,A24,Principal!P:P,"Subiu")</f>
        <v>41021792.09</v>
      </c>
    </row>
    <row r="25">
      <c r="A25" s="42" t="str">
        <f>IFERROR(__xludf.DUMMYFUNCTION("""COMPUTED_VALUE"""),"Alimentos")</f>
        <v>Alimentos</v>
      </c>
      <c r="B25" s="41">
        <f>SUMIF(Principal!R:R,A25,Principal!O:O)</f>
        <v>414174599.3</v>
      </c>
      <c r="C25" s="41">
        <f>SUMIFS(Principal!O:O,Principal!R:R,A25,Principal!P:P,"Subiu")</f>
        <v>414174599.3</v>
      </c>
    </row>
    <row r="26">
      <c r="A26" s="42" t="str">
        <f>IFERROR(__xludf.DUMMYFUNCTION("""COMPUTED_VALUE"""),"Telecomunicações")</f>
        <v>Telecomunicações</v>
      </c>
      <c r="B26" s="41">
        <f>SUMIF(Principal!R:R,A26,Principal!O:O)</f>
        <v>256118562.1</v>
      </c>
      <c r="C26" s="41">
        <f>SUMIFS(Principal!O:O,Principal!R:R,A26,Principal!P:P,"Subiu")</f>
        <v>292938114.4</v>
      </c>
    </row>
    <row r="27">
      <c r="A27" s="42" t="str">
        <f>IFERROR(__xludf.DUMMYFUNCTION("""COMPUTED_VALUE"""),"Logística")</f>
        <v>Logística</v>
      </c>
      <c r="B27" s="41">
        <f>SUMIF(Principal!R:R,A27,Principal!O:O)</f>
        <v>233902674.8</v>
      </c>
      <c r="C27" s="41">
        <f>SUMIFS(Principal!O:O,Principal!R:R,A27,Principal!P:P,"Subiu")</f>
        <v>233902674.8</v>
      </c>
    </row>
    <row r="28">
      <c r="A28" s="42" t="str">
        <f>IFERROR(__xludf.DUMMYFUNCTION("""COMPUTED_VALUE"""),"Serviços Financeiros")</f>
        <v>Serviços Financeiros</v>
      </c>
      <c r="B28" s="41">
        <f>SUMIF(Principal!R:R,A28,Principal!O:O)</f>
        <v>43657683.38</v>
      </c>
      <c r="C28" s="41">
        <f>SUMIFS(Principal!O:O,Principal!R:R,A28,Principal!P:P,"Subiu")</f>
        <v>43657683.38</v>
      </c>
    </row>
    <row r="29">
      <c r="A29" s="42" t="str">
        <f>IFERROR(__xludf.DUMMYFUNCTION("""COMPUTED_VALUE"""),"Tecnologia")</f>
        <v>Tecnologia</v>
      </c>
      <c r="B29" s="41">
        <f>SUMIF(Principal!R:R,A29,Principal!O:O)</f>
        <v>6067508.905</v>
      </c>
      <c r="C29" s="41">
        <f>SUMIFS(Principal!O:O,Principal!R:R,A29,Principal!P:P,"Subiu")</f>
        <v>15598886.65</v>
      </c>
    </row>
    <row r="30">
      <c r="A30" s="42" t="str">
        <f>IFERROR(__xludf.DUMMYFUNCTION("""COMPUTED_VALUE"""),"Varejo")</f>
        <v>Varejo</v>
      </c>
      <c r="B30" s="41">
        <f>SUMIF(Principal!R:R,A30,Principal!O:O)</f>
        <v>-809572187.5</v>
      </c>
      <c r="C30" s="41">
        <f>SUMIFS(Principal!O:O,Principal!R:R,A30,Principal!P:P,"Subiu")</f>
        <v>28493619.27</v>
      </c>
    </row>
    <row r="31">
      <c r="A31" s="42" t="str">
        <f>IFERROR(__xludf.DUMMYFUNCTION("""COMPUTED_VALUE"""),"Bebidas")</f>
        <v>Bebidas</v>
      </c>
      <c r="B31" s="41">
        <f>SUMIF(Principal!R:R,A31,Principal!O:O)</f>
        <v>0</v>
      </c>
      <c r="C31" s="41">
        <f>SUMIFS(Principal!O:O,Principal!R:R,A31,Principal!P:P,"Subiu")</f>
        <v>0</v>
      </c>
    </row>
    <row r="32">
      <c r="A32" s="42" t="str">
        <f>IFERROR(__xludf.DUMMYFUNCTION("""COMPUTED_VALUE"""),"Seguros")</f>
        <v>Seguros</v>
      </c>
      <c r="B32" s="41">
        <f>SUMIF(Principal!R:R,A32,Principal!O:O)</f>
        <v>-26297880.21</v>
      </c>
      <c r="C32" s="41">
        <f>SUMIFS(Principal!O:O,Principal!R:R,A32,Principal!P:P,"Subiu")</f>
        <v>0</v>
      </c>
    </row>
    <row r="33">
      <c r="A33" s="42" t="str">
        <f>IFERROR(__xludf.DUMMYFUNCTION("""COMPUTED_VALUE"""),"Água e Saneamento")</f>
        <v>Água e Saneamento</v>
      </c>
      <c r="B33" s="41">
        <f>SUMIF(Principal!R:R,A33,Principal!O:O)</f>
        <v>-15725678.56</v>
      </c>
      <c r="C33" s="41">
        <f>SUMIFS(Principal!O:O,Principal!R:R,A33,Principal!P:P,"Subiu")</f>
        <v>0</v>
      </c>
    </row>
    <row r="34">
      <c r="A34" s="42" t="str">
        <f>IFERROR(__xludf.DUMMYFUNCTION("""COMPUTED_VALUE"""),"Agricultura")</f>
        <v>Agricultura</v>
      </c>
      <c r="B34" s="41">
        <f>SUMIF(Principal!R:R,A34,Principal!O:O)</f>
        <v>-9468663.682</v>
      </c>
      <c r="C34" s="41">
        <f>SUMIFS(Principal!O:O,Principal!R:R,A34,Principal!P:P,"Subiu")</f>
        <v>0</v>
      </c>
    </row>
    <row r="35">
      <c r="A35" s="42" t="str">
        <f>IFERROR(__xludf.DUMMYFUNCTION("""COMPUTED_VALUE"""),"Infraestrutura")</f>
        <v>Infraestrutura</v>
      </c>
      <c r="B35" s="41">
        <f>SUMIF(Principal!R:R,A35,Principal!O:O)</f>
        <v>-39743554.31</v>
      </c>
      <c r="C35" s="41">
        <f>SUMIFS(Principal!O:O,Principal!R:R,A35,Principal!P:P,"Subiu")</f>
        <v>0</v>
      </c>
    </row>
    <row r="36">
      <c r="A36" s="42" t="str">
        <f>IFERROR(__xludf.DUMMYFUNCTION("""COMPUTED_VALUE"""),"Calçados")</f>
        <v>Calçados</v>
      </c>
      <c r="B36" s="41">
        <f>SUMIF(Principal!R:R,A36,Principal!O:O)</f>
        <v>-21126374.33</v>
      </c>
      <c r="C36" s="41">
        <f>SUMIFS(Principal!O:O,Principal!R:R,A36,Principal!P:P,"Subiu")</f>
        <v>0</v>
      </c>
    </row>
    <row r="37">
      <c r="A37" s="42" t="str">
        <f>IFERROR(__xludf.DUMMYFUNCTION("""COMPUTED_VALUE"""),"Aeronáutica")</f>
        <v>Aeronáutica</v>
      </c>
      <c r="B37" s="41">
        <f>SUMIF(Principal!R:R,A37,Principal!O:O)</f>
        <v>-233651943.5</v>
      </c>
      <c r="C37" s="41">
        <f>SUMIFS(Principal!O:O,Principal!R:R,A37,Principal!P:P,"Subiu")</f>
        <v>0</v>
      </c>
    </row>
    <row r="38">
      <c r="A38" s="42" t="str">
        <f>IFERROR(__xludf.DUMMYFUNCTION("""COMPUTED_VALUE"""),"Beleza")</f>
        <v>Beleza</v>
      </c>
      <c r="B38" s="41">
        <f>SUMIF(Principal!R:R,A38,Principal!O:O)</f>
        <v>-193280001.2</v>
      </c>
      <c r="C38" s="41">
        <f>SUMIFS(Principal!O:O,Principal!R:R,A38,Principal!P:P,"Subiu")</f>
        <v>0</v>
      </c>
    </row>
    <row r="39">
      <c r="A39" s="42" t="str">
        <f>IFERROR(__xludf.DUMMYFUNCTION("""COMPUTED_VALUE"""),"Finanças")</f>
        <v>Finanças</v>
      </c>
      <c r="B39" s="41">
        <f>SUMIF(Principal!R:R,A39,Principal!O:O)</f>
        <v>-1173785666</v>
      </c>
      <c r="C39" s="41">
        <f>SUMIFS(Principal!O:O,Principal!R:R,A39,Principal!P:P,"Subiu")</f>
        <v>0</v>
      </c>
    </row>
    <row r="40">
      <c r="A40" s="42" t="str">
        <f>IFERROR(__xludf.DUMMYFUNCTION("""COMPUTED_VALUE"""),"Farmacêutica")</f>
        <v>Farmacêutica</v>
      </c>
      <c r="B40" s="41">
        <f>SUMIF(Principal!R:R,A40,Principal!O:O)</f>
        <v>-208257014.2</v>
      </c>
      <c r="C40" s="41">
        <f>SUMIFS(Principal!O:O,Principal!R:R,A40,Principal!P:P,"Subiu")</f>
        <v>0</v>
      </c>
    </row>
    <row r="41">
      <c r="A41" s="42" t="str">
        <f>IFERROR(__xludf.DUMMYFUNCTION("""COMPUTED_VALUE"""),"Açúcar e Álcool")</f>
        <v>Açúcar e Álcool</v>
      </c>
      <c r="B41" s="41">
        <f>SUMIF(Principal!R:R,A41,Principal!O:O)</f>
        <v>-79432785.74</v>
      </c>
      <c r="C41" s="41">
        <f>SUMIFS(Principal!O:O,Principal!R:R,A41,Principal!P:P,"Subiu")</f>
        <v>0</v>
      </c>
    </row>
    <row r="42">
      <c r="A42" s="42" t="str">
        <f>IFERROR(__xludf.DUMMYFUNCTION("""COMPUTED_VALUE"""),"Aluguel de Carros")</f>
        <v>Aluguel de Carros</v>
      </c>
      <c r="B42" s="41">
        <f>SUMIF(Principal!R:R,A42,Principal!O:O)</f>
        <v>-1807432634</v>
      </c>
      <c r="C42" s="41">
        <f>SUMIFS(Principal!O:O,Principal!R:R,A42,Principal!P:P,"Subiu")</f>
        <v>0</v>
      </c>
    </row>
    <row r="43">
      <c r="A43" s="42" t="str">
        <f>IFERROR(__xludf.DUMMYFUNCTION("""COMPUTED_VALUE"""),"Turismo")</f>
        <v>Turismo</v>
      </c>
      <c r="B43" s="41">
        <f>SUMIF(Principal!R:R,A43,Principal!O:O)</f>
        <v>-73557408.06</v>
      </c>
      <c r="C43" s="41">
        <f>SUMIFS(Principal!O:O,Principal!R:R,A43,Principal!P:P,"Subiu")</f>
        <v>0</v>
      </c>
    </row>
    <row r="44">
      <c r="A44" s="45"/>
    </row>
    <row r="50">
      <c r="A50" s="44" t="str">
        <f>IFERROR(__xludf.DUMMYFUNCTION("UNIQUE(Principal!P:P)"),"Resultado")</f>
        <v>Resultado</v>
      </c>
      <c r="B50" s="40" t="s">
        <v>1079</v>
      </c>
    </row>
    <row r="51">
      <c r="A51" s="42" t="str">
        <f>IFERROR(__xludf.DUMMYFUNCTION("""COMPUTED_VALUE"""),"Subiu")</f>
        <v>Subiu</v>
      </c>
      <c r="B51" s="41">
        <f>SUMIF(Principal!P:P,A51,Principal!O:O)</f>
        <v>19719227010</v>
      </c>
    </row>
    <row r="52">
      <c r="A52" s="42" t="str">
        <f>IFERROR(__xludf.DUMMYFUNCTION("""COMPUTED_VALUE"""),"Estável")</f>
        <v>Estável</v>
      </c>
      <c r="B52" s="41">
        <f>SUMIF(Principal!P:P,A52,Principal!O:O)</f>
        <v>0</v>
      </c>
    </row>
    <row r="53">
      <c r="A53" s="42" t="str">
        <f>IFERROR(__xludf.DUMMYFUNCTION("""COMPUTED_VALUE"""),"Desceu")</f>
        <v>Desceu</v>
      </c>
      <c r="B53" s="41">
        <f>SUMIF(Principal!P:P,A53,Principal!O:O)</f>
        <v>-6338819961</v>
      </c>
    </row>
    <row r="54">
      <c r="A54" s="45"/>
    </row>
    <row r="58">
      <c r="A58" s="40" t="s">
        <v>1080</v>
      </c>
      <c r="B58" s="40" t="s">
        <v>1079</v>
      </c>
      <c r="C58" s="40" t="s">
        <v>1081</v>
      </c>
    </row>
    <row r="59">
      <c r="A59" s="42" t="str">
        <f>IFERROR(__xludf.DUMMYFUNCTION("UNIQUE(Principal!T2:T82)"),"Entre 50 e 100")</f>
        <v>Entre 50 e 100</v>
      </c>
      <c r="B59" s="41">
        <f>SUMIF(Principal!T:T,A59,Principal!O:O)</f>
        <v>12286170439</v>
      </c>
      <c r="C59" s="42">
        <f>COUNTIF(Principal!T:T,A59)</f>
        <v>38</v>
      </c>
    </row>
    <row r="60">
      <c r="A60" s="42" t="str">
        <f>IFERROR(__xludf.DUMMYFUNCTION("""COMPUTED_VALUE"""),"Menos de 50")</f>
        <v>Menos de 50</v>
      </c>
      <c r="B60" s="41">
        <f>SUMIF(Principal!T:T,A60,Principal!O:O)</f>
        <v>547484522</v>
      </c>
      <c r="C60" s="42">
        <f>COUNTIF(Principal!T:T,A60)</f>
        <v>42</v>
      </c>
    </row>
    <row r="61">
      <c r="A61" s="42" t="str">
        <f>IFERROR(__xludf.DUMMYFUNCTION("""COMPUTED_VALUE"""),"Mais de 100")</f>
        <v>Mais de 100</v>
      </c>
      <c r="B61" s="41">
        <f>SUMIF(Principal!T:T,A61,Principal!O:O)</f>
        <v>546752088</v>
      </c>
      <c r="C61" s="42">
        <f>COUNTIF(Principal!T:T,A61)</f>
        <v>1</v>
      </c>
    </row>
  </sheetData>
  <drawing r:id="rId1"/>
</worksheet>
</file>